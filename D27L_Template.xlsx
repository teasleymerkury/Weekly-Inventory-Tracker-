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sley\Desktop\Weekly-Inventory-Tracker-\"/>
    </mc:Choice>
  </mc:AlternateContent>
  <xr:revisionPtr revIDLastSave="0" documentId="13_ncr:1_{E364D33C-E78D-4473-A412-F77144751CB7}" xr6:coauthVersionLast="47" xr6:coauthVersionMax="47" xr10:uidLastSave="{00000000-0000-0000-0000-000000000000}"/>
  <bookViews>
    <workbookView xWindow="-120" yWindow="-120" windowWidth="29040" windowHeight="15720" xr2:uid="{6692793F-5BD6-48A8-A9E9-D48A7DBCD034}"/>
  </bookViews>
  <sheets>
    <sheet name="Weekly Inventory Recap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" i="6" l="1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6" i="6"/>
  <c r="I45" i="6"/>
  <c r="I44" i="6"/>
  <c r="I42" i="6"/>
  <c r="I41" i="6"/>
  <c r="I39" i="6"/>
  <c r="I38" i="6"/>
  <c r="I37" i="6"/>
  <c r="I36" i="6"/>
  <c r="I35" i="6"/>
  <c r="I34" i="6"/>
  <c r="I33" i="6"/>
  <c r="I31" i="6"/>
  <c r="I30" i="6"/>
  <c r="I29" i="6"/>
  <c r="I28" i="6"/>
  <c r="I27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B3" i="6"/>
</calcChain>
</file>

<file path=xl/sharedStrings.xml><?xml version="1.0" encoding="utf-8"?>
<sst xmlns="http://schemas.openxmlformats.org/spreadsheetml/2006/main" count="167" uniqueCount="85">
  <si>
    <t>Weekly Inventory Update</t>
  </si>
  <si>
    <t>Please return to Jessica &amp; Barrett by EOD Thursday</t>
  </si>
  <si>
    <t>Model Number</t>
  </si>
  <si>
    <t>SKU #</t>
  </si>
  <si>
    <t>SKU Description</t>
  </si>
  <si>
    <t>Avg Weekly Sales</t>
  </si>
  <si>
    <t>Current On Hands (Merkury)</t>
  </si>
  <si>
    <t>Current On Hands
(THD)</t>
  </si>
  <si>
    <t>Current WOS On Hand</t>
  </si>
  <si>
    <t>Current Existing Items</t>
  </si>
  <si>
    <t>LH-PL023-999</t>
  </si>
  <si>
    <t>ASTRONAUT GALAXY NIGHTLIGHT</t>
  </si>
  <si>
    <t>LH-ML157-199</t>
  </si>
  <si>
    <t>9 IN. MISTING MULTICOLOR INTEGRATED</t>
  </si>
  <si>
    <t>LH-ML158-999</t>
  </si>
  <si>
    <t>3.15 IN. COLOR CHANGING 3D FLOATING</t>
  </si>
  <si>
    <t>LH-ML159-999</t>
  </si>
  <si>
    <t>9 IN. MOTION INTEGRATED LED VOLCANO</t>
  </si>
  <si>
    <t>LH-ML006-999</t>
  </si>
  <si>
    <t>MKY BLACK TOUCH LAMP (9.5")</t>
  </si>
  <si>
    <t>LH-VN001-199</t>
  </si>
  <si>
    <t>MKY CURTAIN VINE LIGHTS WARM WHITE</t>
  </si>
  <si>
    <t>LH-ML001-999</t>
  </si>
  <si>
    <t>MKY CRYSTAL TOUCH LIGHT</t>
  </si>
  <si>
    <t>LH-PL003-999</t>
  </si>
  <si>
    <t>MKY GALAXY WAVE PROJECTOR</t>
  </si>
  <si>
    <t>LH-PL001-999</t>
  </si>
  <si>
    <t>MKY PROJECTOR W/ ROTATING SLIDES</t>
  </si>
  <si>
    <t>LH-ML002-999</t>
  </si>
  <si>
    <t>MKY JELLYFISH LAMP</t>
  </si>
  <si>
    <t>LH-ML003-999</t>
  </si>
  <si>
    <t>MKY RGB BATTERY PUCK LIGHT</t>
  </si>
  <si>
    <t>LH-ML160-999</t>
  </si>
  <si>
    <t>2pk RGBIC LED Light Bars with Remote</t>
  </si>
  <si>
    <t>LH-SL100-999</t>
  </si>
  <si>
    <t>40ft Sound Reactive RGBIC Dot Lights</t>
  </si>
  <si>
    <t>LH-ML161-999</t>
  </si>
  <si>
    <t>HD Lens Planetarium Projector</t>
  </si>
  <si>
    <t>LH-ML162-101</t>
  </si>
  <si>
    <t>10in Waterproof RGBW Frosted Lam</t>
  </si>
  <si>
    <t>LH-ML163-999</t>
  </si>
  <si>
    <t>7.1in RGB Mushroom Crystal Lamp</t>
  </si>
  <si>
    <t>Noted</t>
  </si>
  <si>
    <r>
      <t xml:space="preserve">Orders to be shipped as Skinny QPs and approximate arrival dates to our warehouse
*  </t>
    </r>
    <r>
      <rPr>
        <b/>
        <u/>
        <sz val="10"/>
        <color theme="1"/>
        <rFont val="Arial"/>
        <family val="2"/>
      </rPr>
      <t xml:space="preserve">Replenishments for the SKUs below will be shipped in skinny QPs after </t>
    </r>
    <r>
      <rPr>
        <b/>
        <u/>
        <sz val="10"/>
        <color rgb="FFFF0000"/>
        <rFont val="Arial"/>
        <family val="2"/>
      </rPr>
      <t>May 2026</t>
    </r>
  </si>
  <si>
    <t>2026 Q2 New item</t>
  </si>
  <si>
    <t>LH-NL001-999</t>
  </si>
  <si>
    <t>LH-NL002-999</t>
  </si>
  <si>
    <t>LH-NL003-999</t>
  </si>
  <si>
    <t>LH-NL004-999</t>
  </si>
  <si>
    <t>LH-NL005-101</t>
  </si>
  <si>
    <t>LH-NL005-199</t>
  </si>
  <si>
    <t>LH-NL006-101</t>
  </si>
  <si>
    <t>Squishy Peach LED Night Light</t>
  </si>
  <si>
    <t>Squishy Puppy LED Night Light</t>
  </si>
  <si>
    <t>Squishy Bear LED Night Light</t>
  </si>
  <si>
    <t>Squishy Dino LED Night Light</t>
  </si>
  <si>
    <t>2pk Ribbed Plug-In Night Lights - Black</t>
  </si>
  <si>
    <t>2pk Ribbed Plug-In Night Lights - White</t>
  </si>
  <si>
    <t>2pk Cube Plug-In Night Lights - Black</t>
  </si>
  <si>
    <t>LH-CW121-701</t>
  </si>
  <si>
    <t>2026 Q3 New item</t>
  </si>
  <si>
    <t>Pleated Glass Candle Warmer - Amber</t>
  </si>
  <si>
    <t>Puppy - 1015225749
Bear - 1015225752</t>
  </si>
  <si>
    <t>LH-NL002-999
LH-NL003-999</t>
  </si>
  <si>
    <t>Squishy Mixed QP - Puppy x 24pcs &amp; Bear x 24pcs</t>
  </si>
  <si>
    <t>2026 Holiday Special Buy SKU</t>
  </si>
  <si>
    <t>LH-NL008-999</t>
  </si>
  <si>
    <t>RGBIC Sleep Assist Lamp and Clock</t>
  </si>
  <si>
    <t>Skinny QP SKUs</t>
  </si>
  <si>
    <t>Configuration</t>
  </si>
  <si>
    <t>Case Pack</t>
  </si>
  <si>
    <t>Open Stock</t>
  </si>
  <si>
    <t>6/12</t>
  </si>
  <si>
    <t>4/8</t>
  </si>
  <si>
    <t>4/12</t>
  </si>
  <si>
    <t>6/24</t>
  </si>
  <si>
    <t>QP</t>
  </si>
  <si>
    <t>1/24</t>
  </si>
  <si>
    <t>4/16</t>
  </si>
  <si>
    <t>1/48</t>
  </si>
  <si>
    <t>Commitment qty</t>
  </si>
  <si>
    <t>Q4 Mars Cart</t>
  </si>
  <si>
    <t>1/20</t>
  </si>
  <si>
    <t>1/12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</si>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</sst>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ptos Narrow"/>
      <family val="2"/>
      <scheme val="minor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F9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/>
      <right/>
      <top/>
      <bottom style="thin">
        <color rgb="FFCECECE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4" borderId="17" applyNumberFormat="0" applyAlignment="0" applyProtection="0"/>
  </cellStyleXfs>
  <cellXfs count="89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14" fontId="6" fillId="0" borderId="10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24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14" fontId="5" fillId="0" borderId="0" xfId="0" applyNumberFormat="1" applyFont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" fontId="3" fillId="0" borderId="20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2" fillId="3" borderId="15" xfId="0" applyNumberFormat="1" applyFont="1" applyFill="1" applyBorder="1" applyAlignment="1">
      <alignment vertical="center"/>
    </xf>
    <xf numFmtId="1" fontId="8" fillId="2" borderId="0" xfId="0" applyNumberFormat="1" applyFont="1" applyFill="1" applyAlignment="1">
      <alignment vertical="center"/>
    </xf>
    <xf numFmtId="1" fontId="4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0" borderId="2" xfId="0" applyNumberFormat="1" applyFont="1" applyBorder="1" applyAlignment="1">
      <alignment vertical="center"/>
    </xf>
    <xf numFmtId="1" fontId="3" fillId="0" borderId="5" xfId="0" applyNumberFormat="1" applyFont="1" applyBorder="1" applyAlignment="1">
      <alignment vertical="center"/>
    </xf>
    <xf numFmtId="0" fontId="2" fillId="8" borderId="15" xfId="0" applyFont="1" applyFill="1" applyBorder="1" applyAlignment="1">
      <alignment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vertical="center"/>
    </xf>
    <xf numFmtId="0" fontId="3" fillId="0" borderId="20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" fontId="2" fillId="3" borderId="24" xfId="0" applyNumberFormat="1" applyFont="1" applyFill="1" applyBorder="1" applyAlignment="1">
      <alignment vertical="center"/>
    </xf>
    <xf numFmtId="1" fontId="2" fillId="8" borderId="15" xfId="0" applyNumberFormat="1" applyFont="1" applyFill="1" applyBorder="1" applyAlignment="1">
      <alignment vertical="center"/>
    </xf>
    <xf numFmtId="0" fontId="3" fillId="0" borderId="2" xfId="0" quotePrefix="1" applyFont="1" applyBorder="1" applyAlignment="1">
      <alignment horizontal="center" vertical="center" wrapText="1"/>
    </xf>
    <xf numFmtId="1" fontId="8" fillId="2" borderId="0" xfId="0" applyNumberFormat="1" applyFont="1" applyFill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2" fillId="3" borderId="24" xfId="0" applyNumberFormat="1" applyFont="1" applyFill="1" applyBorder="1" applyAlignment="1">
      <alignment horizontal="center" vertical="center"/>
    </xf>
    <xf numFmtId="1" fontId="2" fillId="8" borderId="15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4" fontId="8" fillId="2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2" fillId="3" borderId="24" xfId="0" applyNumberFormat="1" applyFont="1" applyFill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164" fontId="2" fillId="8" borderId="15" xfId="0" applyNumberFormat="1" applyFont="1" applyFill="1" applyBorder="1" applyAlignment="1">
      <alignment vertical="center"/>
    </xf>
    <xf numFmtId="164" fontId="2" fillId="3" borderId="15" xfId="0" applyNumberFormat="1" applyFont="1" applyFill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164" fontId="3" fillId="5" borderId="2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164" fontId="3" fillId="9" borderId="2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left" vertical="center" wrapText="1"/>
    </xf>
  </cellXfs>
  <cellStyles count="2">
    <cellStyle name="Normal" xfId="0" builtinId="0"/>
    <cellStyle name="SAP_ByDesign_Changed_Number" xfId="1" xr:uid="{DBAC6964-A428-4155-91FC-EC42004B43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A0B7-69CC-4EC1-9480-AF2B418E7A8A}">
  <dimension ref="A1:AL149"/>
  <sheetViews>
    <sheetView tabSelected="1" zoomScaleNormal="100" workbookViewId="0">
      <pane xSplit="5" ySplit="9" topLeftCell="F26" activePane="bottomRight" state="frozen"/>
      <selection pane="topRight" activeCell="F1" sqref="F1"/>
      <selection pane="bottomLeft" activeCell="A10" sqref="A10"/>
      <selection pane="bottomRight" activeCell="AK3" sqref="AK3"/>
    </sheetView>
  </sheetViews>
  <sheetFormatPr defaultColWidth="9.140625" defaultRowHeight="12.75" x14ac:dyDescent="0.25"/>
  <cols>
    <col min="1" max="1" width="18.42578125" style="3" customWidth="1"/>
    <col min="2" max="2" width="17.42578125" style="3" bestFit="1" customWidth="1"/>
    <col min="3" max="3" width="45.28515625" style="14" bestFit="1" customWidth="1"/>
    <col min="4" max="4" width="13.85546875" style="14" customWidth="1"/>
    <col min="5" max="5" width="12.140625" style="14" customWidth="1"/>
    <col min="6" max="6" width="19.42578125" style="42" customWidth="1"/>
    <col min="7" max="7" width="20.85546875" style="62" customWidth="1"/>
    <col min="8" max="8" width="19.28515625" style="14" customWidth="1"/>
    <col min="9" max="9" width="23.7109375" style="55" customWidth="1"/>
    <col min="10" max="17" width="10.140625" style="3" customWidth="1"/>
    <col min="18" max="18" width="8.85546875" style="3" bestFit="1" customWidth="1"/>
    <col min="19" max="21" width="10.140625" style="3" customWidth="1"/>
    <col min="22" max="22" width="11.42578125" style="3" customWidth="1"/>
    <col min="23" max="37" width="10.140625" style="3" customWidth="1"/>
    <col min="38" max="38" width="25.42578125" style="8" customWidth="1"/>
    <col min="39" max="16384" width="9.140625" style="14"/>
  </cols>
  <sheetData>
    <row r="1" spans="1:38" s="12" customFormat="1" ht="15.75" x14ac:dyDescent="0.25">
      <c r="A1" s="81" t="s">
        <v>0</v>
      </c>
      <c r="B1" s="81"/>
      <c r="C1" s="11"/>
      <c r="D1" s="11"/>
      <c r="E1" s="11"/>
      <c r="F1" s="40"/>
      <c r="G1" s="60"/>
      <c r="H1" s="11"/>
      <c r="I1" s="5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7"/>
    </row>
    <row r="2" spans="1:38" ht="15" customHeight="1" x14ac:dyDescent="0.25">
      <c r="A2" s="13" t="s">
        <v>1</v>
      </c>
      <c r="B2" s="17"/>
      <c r="C2" s="13"/>
      <c r="D2" s="13"/>
      <c r="E2" s="13"/>
      <c r="F2" s="41"/>
      <c r="G2" s="61"/>
      <c r="H2" s="13"/>
      <c r="I2" s="54"/>
    </row>
    <row r="3" spans="1:38" x14ac:dyDescent="0.25">
      <c r="B3" s="32">
        <f ca="1">TODAY()</f>
        <v>46217</v>
      </c>
    </row>
    <row r="6" spans="1:38" ht="27.75" customHeight="1" x14ac:dyDescent="0.25">
      <c r="J6" s="88" t="s">
        <v>43</v>
      </c>
      <c r="K6" s="88"/>
      <c r="L6" s="88"/>
      <c r="M6" s="88"/>
      <c r="N6" s="88"/>
      <c r="O6" s="88"/>
      <c r="P6" s="88"/>
      <c r="Q6" s="88"/>
    </row>
    <row r="7" spans="1:38" s="23" customFormat="1" ht="12" customHeight="1" x14ac:dyDescent="0.25">
      <c r="A7" s="82" t="s">
        <v>2</v>
      </c>
      <c r="B7" s="84" t="s">
        <v>3</v>
      </c>
      <c r="C7" s="84" t="s">
        <v>4</v>
      </c>
      <c r="D7" s="75" t="s">
        <v>69</v>
      </c>
      <c r="E7" s="75" t="s">
        <v>70</v>
      </c>
      <c r="F7" s="75" t="s">
        <v>5</v>
      </c>
      <c r="G7" s="79" t="s">
        <v>6</v>
      </c>
      <c r="H7" s="77" t="s">
        <v>7</v>
      </c>
      <c r="I7" s="86" t="s">
        <v>8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73" t="s">
        <v>42</v>
      </c>
    </row>
    <row r="8" spans="1:38" s="23" customFormat="1" x14ac:dyDescent="0.25">
      <c r="A8" s="83"/>
      <c r="B8" s="85"/>
      <c r="C8" s="85"/>
      <c r="D8" s="76"/>
      <c r="E8" s="76"/>
      <c r="F8" s="76"/>
      <c r="G8" s="80"/>
      <c r="H8" s="78"/>
      <c r="I8" s="87"/>
      <c r="J8" s="19">
        <v>46216</v>
      </c>
      <c r="K8" s="19">
        <v>46223</v>
      </c>
      <c r="L8" s="19">
        <v>46230</v>
      </c>
      <c r="M8" s="19">
        <v>46237</v>
      </c>
      <c r="N8" s="19">
        <v>46244</v>
      </c>
      <c r="O8" s="19">
        <v>46251</v>
      </c>
      <c r="P8" s="19">
        <v>46258</v>
      </c>
      <c r="Q8" s="19">
        <v>46265</v>
      </c>
      <c r="R8" s="19">
        <v>46272</v>
      </c>
      <c r="S8" s="19">
        <v>46279</v>
      </c>
      <c r="T8" s="19">
        <v>46286</v>
      </c>
      <c r="U8" s="19">
        <v>46293</v>
      </c>
      <c r="V8" s="19">
        <v>46300</v>
      </c>
      <c r="W8" s="19">
        <v>46307</v>
      </c>
      <c r="X8" s="19">
        <v>46314</v>
      </c>
      <c r="Y8" s="19">
        <v>46321</v>
      </c>
      <c r="Z8" s="19">
        <v>46328</v>
      </c>
      <c r="AA8" s="19">
        <v>46335</v>
      </c>
      <c r="AB8" s="19">
        <v>46342</v>
      </c>
      <c r="AC8" s="19">
        <v>46349</v>
      </c>
      <c r="AD8" s="19">
        <v>46356</v>
      </c>
      <c r="AE8" s="19">
        <v>46363</v>
      </c>
      <c r="AF8" s="19">
        <v>46370</v>
      </c>
      <c r="AG8" s="19">
        <v>46377</v>
      </c>
      <c r="AH8" s="19">
        <v>46384</v>
      </c>
      <c r="AI8" s="19">
        <v>46391</v>
      </c>
      <c r="AJ8" s="19">
        <v>46398</v>
      </c>
      <c r="AK8" s="19">
        <v>46405</v>
      </c>
      <c r="AL8" s="74"/>
    </row>
    <row r="9" spans="1:38" x14ac:dyDescent="0.25">
      <c r="A9" s="25" t="s">
        <v>9</v>
      </c>
      <c r="B9" s="33"/>
      <c r="C9" s="26"/>
      <c r="D9" s="26"/>
      <c r="E9" s="26"/>
      <c r="F9" s="50"/>
      <c r="G9" s="63"/>
      <c r="H9" s="26"/>
      <c r="I9" s="5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7"/>
    </row>
    <row r="10" spans="1:38" x14ac:dyDescent="0.25">
      <c r="A10" s="20" t="s">
        <v>10</v>
      </c>
      <c r="B10" s="20">
        <v>1012270067</v>
      </c>
      <c r="C10" s="22" t="s">
        <v>11</v>
      </c>
      <c r="D10" s="20" t="s">
        <v>71</v>
      </c>
      <c r="E10" s="48" t="s">
        <v>72</v>
      </c>
      <c r="F10" s="38">
        <v>0</v>
      </c>
      <c r="G10" s="64">
        <v>0</v>
      </c>
      <c r="H10" s="38">
        <v>0</v>
      </c>
      <c r="I10" s="37" t="e">
        <f>(G10+G27)/F10</f>
        <v>#DIV/0!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18"/>
    </row>
    <row r="11" spans="1:38" x14ac:dyDescent="0.25">
      <c r="A11" s="1" t="s">
        <v>12</v>
      </c>
      <c r="B11" s="1">
        <v>1012264235</v>
      </c>
      <c r="C11" s="21" t="s">
        <v>13</v>
      </c>
      <c r="D11" s="20" t="s">
        <v>71</v>
      </c>
      <c r="E11" s="49" t="s">
        <v>73</v>
      </c>
      <c r="F11" s="38">
        <v>0</v>
      </c>
      <c r="G11" s="64">
        <v>0</v>
      </c>
      <c r="H11" s="38">
        <v>0</v>
      </c>
      <c r="I11" s="38" t="e">
        <f t="shared" ref="I11:I18" si="0">G11/F11</f>
        <v>#DIV/0!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  <c r="AF11" s="38">
        <v>0</v>
      </c>
      <c r="AG11" s="38">
        <v>0</v>
      </c>
      <c r="AH11" s="38">
        <v>0</v>
      </c>
      <c r="AI11" s="38">
        <v>0</v>
      </c>
      <c r="AJ11" s="38">
        <v>0</v>
      </c>
      <c r="AK11" s="38">
        <v>0</v>
      </c>
      <c r="AL11" s="10"/>
    </row>
    <row r="12" spans="1:38" x14ac:dyDescent="0.25">
      <c r="A12" s="1" t="s">
        <v>14</v>
      </c>
      <c r="B12" s="1">
        <v>1012317129</v>
      </c>
      <c r="C12" s="21" t="s">
        <v>15</v>
      </c>
      <c r="D12" s="20" t="s">
        <v>71</v>
      </c>
      <c r="E12" s="48" t="s">
        <v>72</v>
      </c>
      <c r="F12" s="38">
        <v>0</v>
      </c>
      <c r="G12" s="64">
        <v>0</v>
      </c>
      <c r="H12" s="38">
        <v>0</v>
      </c>
      <c r="I12" s="38" t="e">
        <f t="shared" si="0"/>
        <v>#DIV/0!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8">
        <v>0</v>
      </c>
      <c r="Z12" s="38">
        <v>0</v>
      </c>
      <c r="AA12" s="38">
        <v>0</v>
      </c>
      <c r="AB12" s="38">
        <v>0</v>
      </c>
      <c r="AC12" s="38">
        <v>0</v>
      </c>
      <c r="AD12" s="38">
        <v>0</v>
      </c>
      <c r="AE12" s="38">
        <v>0</v>
      </c>
      <c r="AF12" s="38">
        <v>0</v>
      </c>
      <c r="AG12" s="38">
        <v>0</v>
      </c>
      <c r="AH12" s="38">
        <v>0</v>
      </c>
      <c r="AI12" s="38">
        <v>0</v>
      </c>
      <c r="AJ12" s="38">
        <v>0</v>
      </c>
      <c r="AK12" s="38">
        <v>0</v>
      </c>
      <c r="AL12" s="10"/>
    </row>
    <row r="13" spans="1:38" x14ac:dyDescent="0.25">
      <c r="A13" s="1" t="s">
        <v>16</v>
      </c>
      <c r="B13" s="1">
        <v>1012264238</v>
      </c>
      <c r="C13" s="21" t="s">
        <v>17</v>
      </c>
      <c r="D13" s="20" t="s">
        <v>71</v>
      </c>
      <c r="E13" s="48" t="s">
        <v>72</v>
      </c>
      <c r="F13" s="38">
        <v>0</v>
      </c>
      <c r="G13" s="64">
        <v>0</v>
      </c>
      <c r="H13" s="38">
        <v>0</v>
      </c>
      <c r="I13" s="38" t="e">
        <f t="shared" si="0"/>
        <v>#DIV/0!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  <c r="X13" s="38">
        <v>0</v>
      </c>
      <c r="Y13" s="38">
        <v>0</v>
      </c>
      <c r="Z13" s="38">
        <v>0</v>
      </c>
      <c r="AA13" s="38">
        <v>0</v>
      </c>
      <c r="AB13" s="38">
        <v>0</v>
      </c>
      <c r="AC13" s="38">
        <v>0</v>
      </c>
      <c r="AD13" s="38">
        <v>0</v>
      </c>
      <c r="AE13" s="38">
        <v>0</v>
      </c>
      <c r="AF13" s="38">
        <v>0</v>
      </c>
      <c r="AG13" s="38">
        <v>0</v>
      </c>
      <c r="AH13" s="38">
        <v>0</v>
      </c>
      <c r="AI13" s="38">
        <v>0</v>
      </c>
      <c r="AJ13" s="38">
        <v>0</v>
      </c>
      <c r="AK13" s="38">
        <v>0</v>
      </c>
      <c r="AL13" s="10"/>
    </row>
    <row r="14" spans="1:38" x14ac:dyDescent="0.25">
      <c r="A14" s="1" t="s">
        <v>18</v>
      </c>
      <c r="B14" s="1">
        <v>1009581108</v>
      </c>
      <c r="C14" s="21" t="s">
        <v>19</v>
      </c>
      <c r="D14" s="20" t="s">
        <v>71</v>
      </c>
      <c r="E14" s="49" t="s">
        <v>74</v>
      </c>
      <c r="F14" s="38">
        <v>0</v>
      </c>
      <c r="G14" s="64">
        <v>0</v>
      </c>
      <c r="H14" s="38">
        <v>0</v>
      </c>
      <c r="I14" s="38" t="e">
        <f t="shared" si="0"/>
        <v>#DIV/0!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  <c r="AF14" s="38">
        <v>0</v>
      </c>
      <c r="AG14" s="38">
        <v>0</v>
      </c>
      <c r="AH14" s="38">
        <v>0</v>
      </c>
      <c r="AI14" s="38">
        <v>0</v>
      </c>
      <c r="AJ14" s="38">
        <v>0</v>
      </c>
      <c r="AK14" s="38">
        <v>0</v>
      </c>
      <c r="AL14" s="10"/>
    </row>
    <row r="15" spans="1:38" x14ac:dyDescent="0.25">
      <c r="A15" s="1" t="s">
        <v>20</v>
      </c>
      <c r="B15" s="1">
        <v>1009579740</v>
      </c>
      <c r="C15" s="21" t="s">
        <v>21</v>
      </c>
      <c r="D15" s="20" t="s">
        <v>71</v>
      </c>
      <c r="E15" s="49" t="s">
        <v>75</v>
      </c>
      <c r="F15" s="38">
        <v>0</v>
      </c>
      <c r="G15" s="64">
        <v>0</v>
      </c>
      <c r="H15" s="38">
        <v>0</v>
      </c>
      <c r="I15" s="38" t="e">
        <f t="shared" si="0"/>
        <v>#DIV/0!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8">
        <v>0</v>
      </c>
      <c r="X15" s="38">
        <v>0</v>
      </c>
      <c r="Y15" s="38">
        <v>0</v>
      </c>
      <c r="Z15" s="38">
        <v>0</v>
      </c>
      <c r="AA15" s="38">
        <v>0</v>
      </c>
      <c r="AB15" s="38">
        <v>0</v>
      </c>
      <c r="AC15" s="38">
        <v>0</v>
      </c>
      <c r="AD15" s="38">
        <v>0</v>
      </c>
      <c r="AE15" s="38">
        <v>0</v>
      </c>
      <c r="AF15" s="38">
        <v>0</v>
      </c>
      <c r="AG15" s="38">
        <v>0</v>
      </c>
      <c r="AH15" s="38">
        <v>0</v>
      </c>
      <c r="AI15" s="38">
        <v>0</v>
      </c>
      <c r="AJ15" s="38">
        <v>0</v>
      </c>
      <c r="AK15" s="38">
        <v>0</v>
      </c>
      <c r="AL15" s="10"/>
    </row>
    <row r="16" spans="1:38" x14ac:dyDescent="0.25">
      <c r="A16" s="1" t="s">
        <v>22</v>
      </c>
      <c r="B16" s="1">
        <v>1009579741</v>
      </c>
      <c r="C16" s="21" t="s">
        <v>23</v>
      </c>
      <c r="D16" s="20" t="s">
        <v>71</v>
      </c>
      <c r="E16" s="48" t="s">
        <v>72</v>
      </c>
      <c r="F16" s="38">
        <v>0</v>
      </c>
      <c r="G16" s="69">
        <v>0</v>
      </c>
      <c r="H16" s="38">
        <v>0</v>
      </c>
      <c r="I16" s="38" t="e">
        <f>(G16+G28)/F16</f>
        <v>#DIV/0!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8">
        <v>0</v>
      </c>
      <c r="Z16" s="38">
        <v>0</v>
      </c>
      <c r="AA16" s="38">
        <v>0</v>
      </c>
      <c r="AB16" s="38">
        <v>0</v>
      </c>
      <c r="AC16" s="38">
        <v>0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38">
        <v>0</v>
      </c>
      <c r="AJ16" s="38">
        <v>0</v>
      </c>
      <c r="AK16" s="38">
        <v>0</v>
      </c>
      <c r="AL16" s="10"/>
    </row>
    <row r="17" spans="1:38" x14ac:dyDescent="0.25">
      <c r="A17" s="1" t="s">
        <v>24</v>
      </c>
      <c r="B17" s="1">
        <v>1009579743</v>
      </c>
      <c r="C17" s="21" t="s">
        <v>25</v>
      </c>
      <c r="D17" s="20" t="s">
        <v>71</v>
      </c>
      <c r="E17" s="49" t="s">
        <v>74</v>
      </c>
      <c r="F17" s="38">
        <v>0</v>
      </c>
      <c r="G17" s="64">
        <v>0</v>
      </c>
      <c r="H17" s="38">
        <v>0</v>
      </c>
      <c r="I17" s="38" t="e">
        <f t="shared" si="0"/>
        <v>#DIV/0!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0</v>
      </c>
      <c r="Z17" s="38">
        <v>0</v>
      </c>
      <c r="AA17" s="38">
        <v>0</v>
      </c>
      <c r="AB17" s="38">
        <v>0</v>
      </c>
      <c r="AC17" s="38">
        <v>0</v>
      </c>
      <c r="AD17" s="38">
        <v>0</v>
      </c>
      <c r="AE17" s="38">
        <v>0</v>
      </c>
      <c r="AF17" s="38">
        <v>0</v>
      </c>
      <c r="AG17" s="38">
        <v>0</v>
      </c>
      <c r="AH17" s="38">
        <v>0</v>
      </c>
      <c r="AI17" s="38">
        <v>0</v>
      </c>
      <c r="AJ17" s="38">
        <v>0</v>
      </c>
      <c r="AK17" s="38">
        <v>0</v>
      </c>
      <c r="AL17" s="10"/>
    </row>
    <row r="18" spans="1:38" x14ac:dyDescent="0.25">
      <c r="A18" s="1" t="s">
        <v>26</v>
      </c>
      <c r="B18" s="1">
        <v>1009579745</v>
      </c>
      <c r="C18" s="21" t="s">
        <v>27</v>
      </c>
      <c r="D18" s="20" t="s">
        <v>71</v>
      </c>
      <c r="E18" s="48" t="s">
        <v>72</v>
      </c>
      <c r="F18" s="38">
        <v>0</v>
      </c>
      <c r="G18" s="64">
        <v>0</v>
      </c>
      <c r="H18" s="38">
        <v>0</v>
      </c>
      <c r="I18" s="38" t="e">
        <f t="shared" si="0"/>
        <v>#DIV/0!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  <c r="AC18" s="38">
        <v>0</v>
      </c>
      <c r="AD18" s="38">
        <v>0</v>
      </c>
      <c r="AE18" s="38">
        <v>0</v>
      </c>
      <c r="AF18" s="38">
        <v>0</v>
      </c>
      <c r="AG18" s="38">
        <v>0</v>
      </c>
      <c r="AH18" s="38">
        <v>0</v>
      </c>
      <c r="AI18" s="38">
        <v>0</v>
      </c>
      <c r="AJ18" s="38">
        <v>0</v>
      </c>
      <c r="AK18" s="38">
        <v>0</v>
      </c>
      <c r="AL18" s="10"/>
    </row>
    <row r="19" spans="1:38" x14ac:dyDescent="0.25">
      <c r="A19" s="1" t="s">
        <v>28</v>
      </c>
      <c r="B19" s="1">
        <v>1009579746</v>
      </c>
      <c r="C19" s="21" t="s">
        <v>29</v>
      </c>
      <c r="D19" s="20" t="s">
        <v>71</v>
      </c>
      <c r="E19" s="48" t="s">
        <v>72</v>
      </c>
      <c r="F19" s="38">
        <v>0</v>
      </c>
      <c r="G19" s="70">
        <v>0</v>
      </c>
      <c r="H19" s="38">
        <v>0</v>
      </c>
      <c r="I19" s="38" t="e">
        <f>(G19+G29)/F19</f>
        <v>#DIV/0!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  <c r="AF19" s="38">
        <v>0</v>
      </c>
      <c r="AG19" s="38">
        <v>0</v>
      </c>
      <c r="AH19" s="38">
        <v>0</v>
      </c>
      <c r="AI19" s="38">
        <v>0</v>
      </c>
      <c r="AJ19" s="38">
        <v>0</v>
      </c>
      <c r="AK19" s="38">
        <v>0</v>
      </c>
      <c r="AL19" s="10"/>
    </row>
    <row r="20" spans="1:38" x14ac:dyDescent="0.25">
      <c r="A20" s="1" t="s">
        <v>30</v>
      </c>
      <c r="B20" s="1">
        <v>1009581107</v>
      </c>
      <c r="C20" s="21" t="s">
        <v>31</v>
      </c>
      <c r="D20" s="20" t="s">
        <v>71</v>
      </c>
      <c r="E20" s="49" t="s">
        <v>75</v>
      </c>
      <c r="F20" s="38">
        <v>0</v>
      </c>
      <c r="G20" s="71">
        <v>0</v>
      </c>
      <c r="H20" s="38">
        <v>0</v>
      </c>
      <c r="I20" s="38" t="e">
        <f>(G20+G30)/F20</f>
        <v>#DIV/0!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  <c r="AA20" s="38">
        <v>0</v>
      </c>
      <c r="AB20" s="38">
        <v>0</v>
      </c>
      <c r="AC20" s="38">
        <v>0</v>
      </c>
      <c r="AD20" s="38">
        <v>0</v>
      </c>
      <c r="AE20" s="38">
        <v>0</v>
      </c>
      <c r="AF20" s="38">
        <v>0</v>
      </c>
      <c r="AG20" s="38">
        <v>0</v>
      </c>
      <c r="AH20" s="38">
        <v>0</v>
      </c>
      <c r="AI20" s="38">
        <v>0</v>
      </c>
      <c r="AJ20" s="38">
        <v>0</v>
      </c>
      <c r="AK20" s="38">
        <v>0</v>
      </c>
      <c r="AL20" s="10"/>
    </row>
    <row r="21" spans="1:38" x14ac:dyDescent="0.25">
      <c r="A21" s="1" t="s">
        <v>32</v>
      </c>
      <c r="B21" s="1">
        <v>1013936347</v>
      </c>
      <c r="C21" s="15" t="s">
        <v>33</v>
      </c>
      <c r="D21" s="20" t="s">
        <v>71</v>
      </c>
      <c r="E21" s="48" t="s">
        <v>72</v>
      </c>
      <c r="F21" s="38">
        <v>0</v>
      </c>
      <c r="G21" s="64">
        <v>0</v>
      </c>
      <c r="H21" s="38">
        <v>0</v>
      </c>
      <c r="I21" s="38" t="e">
        <f>G21/F21</f>
        <v>#DIV/0!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  <c r="AF21" s="38">
        <v>0</v>
      </c>
      <c r="AG21" s="38">
        <v>0</v>
      </c>
      <c r="AH21" s="38">
        <v>0</v>
      </c>
      <c r="AI21" s="38">
        <v>0</v>
      </c>
      <c r="AJ21" s="38">
        <v>0</v>
      </c>
      <c r="AK21" s="38">
        <v>0</v>
      </c>
      <c r="AL21" s="10"/>
    </row>
    <row r="22" spans="1:38" x14ac:dyDescent="0.25">
      <c r="A22" s="1" t="s">
        <v>34</v>
      </c>
      <c r="B22" s="1">
        <v>1013936351</v>
      </c>
      <c r="C22" s="15" t="s">
        <v>35</v>
      </c>
      <c r="D22" s="20" t="s">
        <v>71</v>
      </c>
      <c r="E22" s="49" t="s">
        <v>75</v>
      </c>
      <c r="F22" s="38">
        <v>0</v>
      </c>
      <c r="G22" s="72">
        <v>0</v>
      </c>
      <c r="H22" s="38">
        <v>0</v>
      </c>
      <c r="I22" s="38" t="e">
        <f>(G22+G31)/F22</f>
        <v>#DIV/0!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8">
        <v>0</v>
      </c>
      <c r="AK22" s="38">
        <v>0</v>
      </c>
      <c r="AL22" s="10"/>
    </row>
    <row r="23" spans="1:38" x14ac:dyDescent="0.25">
      <c r="A23" s="1" t="s">
        <v>36</v>
      </c>
      <c r="B23" s="1">
        <v>1013936353</v>
      </c>
      <c r="C23" s="15" t="s">
        <v>37</v>
      </c>
      <c r="D23" s="20" t="s">
        <v>71</v>
      </c>
      <c r="E23" s="48" t="s">
        <v>72</v>
      </c>
      <c r="F23" s="38">
        <v>0</v>
      </c>
      <c r="G23" s="64">
        <v>0</v>
      </c>
      <c r="H23" s="38">
        <v>0</v>
      </c>
      <c r="I23" s="38" t="e">
        <f>G23/F23</f>
        <v>#DIV/0!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  <c r="AF23" s="38">
        <v>0</v>
      </c>
      <c r="AG23" s="38">
        <v>0</v>
      </c>
      <c r="AH23" s="38">
        <v>0</v>
      </c>
      <c r="AI23" s="38">
        <v>0</v>
      </c>
      <c r="AJ23" s="38">
        <v>0</v>
      </c>
      <c r="AK23" s="38">
        <v>0</v>
      </c>
      <c r="AL23" s="10"/>
    </row>
    <row r="24" spans="1:38" x14ac:dyDescent="0.25">
      <c r="A24" s="1" t="s">
        <v>38</v>
      </c>
      <c r="B24" s="1">
        <v>1013960125</v>
      </c>
      <c r="C24" s="15" t="s">
        <v>39</v>
      </c>
      <c r="D24" s="20" t="s">
        <v>71</v>
      </c>
      <c r="E24" s="48" t="s">
        <v>72</v>
      </c>
      <c r="F24" s="38">
        <v>0</v>
      </c>
      <c r="G24" s="64">
        <v>0</v>
      </c>
      <c r="H24" s="38">
        <v>0</v>
      </c>
      <c r="I24" s="38" t="e">
        <f>G24/F24</f>
        <v>#DIV/0!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0</v>
      </c>
      <c r="AF24" s="38">
        <v>0</v>
      </c>
      <c r="AG24" s="38">
        <v>0</v>
      </c>
      <c r="AH24" s="38">
        <v>0</v>
      </c>
      <c r="AI24" s="38">
        <v>0</v>
      </c>
      <c r="AJ24" s="38">
        <v>0</v>
      </c>
      <c r="AK24" s="38">
        <v>0</v>
      </c>
      <c r="AL24" s="10"/>
    </row>
    <row r="25" spans="1:38" x14ac:dyDescent="0.25">
      <c r="A25" s="1" t="s">
        <v>40</v>
      </c>
      <c r="B25" s="1">
        <v>1013960128</v>
      </c>
      <c r="C25" s="15" t="s">
        <v>41</v>
      </c>
      <c r="D25" s="20" t="s">
        <v>71</v>
      </c>
      <c r="E25" s="49" t="s">
        <v>74</v>
      </c>
      <c r="F25" s="38">
        <v>0</v>
      </c>
      <c r="G25" s="64">
        <v>0</v>
      </c>
      <c r="H25" s="38">
        <v>0</v>
      </c>
      <c r="I25" s="38" t="e">
        <f>G25/F25</f>
        <v>#DIV/0!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  <c r="AF25" s="38">
        <v>0</v>
      </c>
      <c r="AG25" s="38">
        <v>0</v>
      </c>
      <c r="AH25" s="38">
        <v>0</v>
      </c>
      <c r="AI25" s="38">
        <v>0</v>
      </c>
      <c r="AJ25" s="38">
        <v>0</v>
      </c>
      <c r="AK25" s="38">
        <v>0</v>
      </c>
      <c r="AL25" s="10"/>
    </row>
    <row r="26" spans="1:38" x14ac:dyDescent="0.25">
      <c r="A26" s="45" t="s">
        <v>68</v>
      </c>
      <c r="B26" s="46"/>
      <c r="C26" s="45"/>
      <c r="D26" s="45"/>
      <c r="E26" s="45"/>
      <c r="F26" s="51"/>
      <c r="G26" s="65"/>
      <c r="H26" s="45"/>
      <c r="I26" s="57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7"/>
    </row>
    <row r="27" spans="1:38" x14ac:dyDescent="0.25">
      <c r="A27" s="1" t="s">
        <v>10</v>
      </c>
      <c r="B27" s="1">
        <v>1012270067</v>
      </c>
      <c r="C27" s="15" t="s">
        <v>11</v>
      </c>
      <c r="D27" s="20" t="s">
        <v>76</v>
      </c>
      <c r="E27" s="48" t="s">
        <v>77</v>
      </c>
      <c r="F27" s="38">
        <v>0</v>
      </c>
      <c r="G27" s="64">
        <v>0</v>
      </c>
      <c r="H27" s="38">
        <v>0</v>
      </c>
      <c r="I27" s="38" t="e">
        <f>(G10+G27)/F10</f>
        <v>#DIV/0!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38">
        <v>0</v>
      </c>
      <c r="AL27" s="10"/>
    </row>
    <row r="28" spans="1:38" x14ac:dyDescent="0.25">
      <c r="A28" s="1" t="s">
        <v>22</v>
      </c>
      <c r="B28" s="1">
        <v>1009579741</v>
      </c>
      <c r="C28" s="15" t="s">
        <v>23</v>
      </c>
      <c r="D28" s="20" t="s">
        <v>76</v>
      </c>
      <c r="E28" s="48" t="s">
        <v>77</v>
      </c>
      <c r="F28" s="38">
        <v>0</v>
      </c>
      <c r="G28" s="69">
        <v>0</v>
      </c>
      <c r="H28" s="38">
        <v>0</v>
      </c>
      <c r="I28" s="38" t="e">
        <f>(G16+G28)/F16</f>
        <v>#DIV/0!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38">
        <v>0</v>
      </c>
      <c r="AL28" s="6"/>
    </row>
    <row r="29" spans="1:38" x14ac:dyDescent="0.25">
      <c r="A29" s="1" t="s">
        <v>28</v>
      </c>
      <c r="B29" s="1">
        <v>1009579746</v>
      </c>
      <c r="C29" s="15" t="s">
        <v>29</v>
      </c>
      <c r="D29" s="20" t="s">
        <v>76</v>
      </c>
      <c r="E29" s="48" t="s">
        <v>77</v>
      </c>
      <c r="F29" s="38">
        <v>0</v>
      </c>
      <c r="G29" s="70">
        <v>0</v>
      </c>
      <c r="H29" s="38">
        <v>0</v>
      </c>
      <c r="I29" s="38" t="e">
        <f>(G19+G29)/F19</f>
        <v>#DIV/0!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38">
        <v>0</v>
      </c>
      <c r="AL29" s="6"/>
    </row>
    <row r="30" spans="1:38" x14ac:dyDescent="0.25">
      <c r="A30" s="1" t="s">
        <v>30</v>
      </c>
      <c r="B30" s="1">
        <v>1009581107</v>
      </c>
      <c r="C30" s="15" t="s">
        <v>31</v>
      </c>
      <c r="D30" s="20" t="s">
        <v>76</v>
      </c>
      <c r="E30" s="48" t="s">
        <v>77</v>
      </c>
      <c r="F30" s="38">
        <v>0</v>
      </c>
      <c r="G30" s="71">
        <v>0</v>
      </c>
      <c r="H30" s="38">
        <v>0</v>
      </c>
      <c r="I30" s="38" t="e">
        <f>(G20+G30)/F20</f>
        <v>#DIV/0!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38">
        <v>0</v>
      </c>
      <c r="AL30" s="6"/>
    </row>
    <row r="31" spans="1:38" x14ac:dyDescent="0.25">
      <c r="A31" s="1" t="s">
        <v>34</v>
      </c>
      <c r="B31" s="1">
        <v>1013936351</v>
      </c>
      <c r="C31" s="15" t="s">
        <v>35</v>
      </c>
      <c r="D31" s="20" t="s">
        <v>76</v>
      </c>
      <c r="E31" s="48" t="s">
        <v>77</v>
      </c>
      <c r="F31" s="38">
        <v>0</v>
      </c>
      <c r="G31" s="72">
        <v>0</v>
      </c>
      <c r="H31" s="38">
        <v>0</v>
      </c>
      <c r="I31" s="38" t="e">
        <f>(G22+G31)/F22</f>
        <v>#DIV/0!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38">
        <v>0</v>
      </c>
      <c r="AL31" s="6"/>
    </row>
    <row r="32" spans="1:38" x14ac:dyDescent="0.25">
      <c r="A32" s="28" t="s">
        <v>44</v>
      </c>
      <c r="B32" s="34"/>
      <c r="C32" s="28"/>
      <c r="D32" s="28"/>
      <c r="E32" s="28"/>
      <c r="F32" s="39"/>
      <c r="G32" s="66"/>
      <c r="H32" s="28"/>
      <c r="I32" s="5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9"/>
    </row>
    <row r="33" spans="1:38" x14ac:dyDescent="0.25">
      <c r="A33" s="3" t="s">
        <v>45</v>
      </c>
      <c r="B33" s="30">
        <v>1015225746</v>
      </c>
      <c r="C33" s="15" t="s">
        <v>52</v>
      </c>
      <c r="D33" s="20" t="s">
        <v>71</v>
      </c>
      <c r="E33" s="49" t="s">
        <v>78</v>
      </c>
      <c r="F33" s="38">
        <v>0</v>
      </c>
      <c r="G33" s="64">
        <v>0</v>
      </c>
      <c r="H33" s="38">
        <v>0</v>
      </c>
      <c r="I33" s="38" t="e">
        <f t="shared" ref="I33:I60" si="1">G33/F33</f>
        <v>#DIV/0!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38">
        <v>0</v>
      </c>
      <c r="AL33" s="10"/>
    </row>
    <row r="34" spans="1:38" x14ac:dyDescent="0.25">
      <c r="A34" s="3" t="s">
        <v>46</v>
      </c>
      <c r="B34" s="30">
        <v>1015225749</v>
      </c>
      <c r="C34" s="15" t="s">
        <v>53</v>
      </c>
      <c r="D34" s="20" t="s">
        <v>71</v>
      </c>
      <c r="E34" s="49" t="s">
        <v>78</v>
      </c>
      <c r="F34" s="38">
        <v>0</v>
      </c>
      <c r="G34" s="64">
        <v>0</v>
      </c>
      <c r="H34" s="38">
        <v>0</v>
      </c>
      <c r="I34" s="38" t="e">
        <f t="shared" si="1"/>
        <v>#DIV/0!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38">
        <v>0</v>
      </c>
      <c r="AL34" s="6"/>
    </row>
    <row r="35" spans="1:38" x14ac:dyDescent="0.25">
      <c r="A35" s="3" t="s">
        <v>47</v>
      </c>
      <c r="B35" s="30">
        <v>1015225752</v>
      </c>
      <c r="C35" s="15" t="s">
        <v>54</v>
      </c>
      <c r="D35" s="20" t="s">
        <v>71</v>
      </c>
      <c r="E35" s="49" t="s">
        <v>78</v>
      </c>
      <c r="F35" s="38">
        <v>0</v>
      </c>
      <c r="G35" s="64">
        <v>0</v>
      </c>
      <c r="H35" s="38">
        <v>0</v>
      </c>
      <c r="I35" s="38" t="e">
        <f t="shared" si="1"/>
        <v>#DIV/0!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38">
        <v>0</v>
      </c>
      <c r="AL35" s="6"/>
    </row>
    <row r="36" spans="1:38" x14ac:dyDescent="0.25">
      <c r="A36" s="3" t="s">
        <v>48</v>
      </c>
      <c r="B36" s="30">
        <v>1015225755</v>
      </c>
      <c r="C36" s="15" t="s">
        <v>55</v>
      </c>
      <c r="D36" s="20" t="s">
        <v>71</v>
      </c>
      <c r="E36" s="49" t="s">
        <v>78</v>
      </c>
      <c r="F36" s="38">
        <v>0</v>
      </c>
      <c r="G36" s="64">
        <v>0</v>
      </c>
      <c r="H36" s="38">
        <v>0</v>
      </c>
      <c r="I36" s="38" t="e">
        <f t="shared" si="1"/>
        <v>#DIV/0!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38">
        <v>0</v>
      </c>
      <c r="AL36" s="6"/>
    </row>
    <row r="37" spans="1:38" x14ac:dyDescent="0.25">
      <c r="A37" s="3" t="s">
        <v>49</v>
      </c>
      <c r="B37" s="30">
        <v>1015225758</v>
      </c>
      <c r="C37" s="15" t="s">
        <v>56</v>
      </c>
      <c r="D37" s="20" t="s">
        <v>71</v>
      </c>
      <c r="E37" s="49" t="s">
        <v>78</v>
      </c>
      <c r="F37" s="38">
        <v>0</v>
      </c>
      <c r="G37" s="64">
        <v>0</v>
      </c>
      <c r="H37" s="38">
        <v>0</v>
      </c>
      <c r="I37" s="38" t="e">
        <f t="shared" si="1"/>
        <v>#DIV/0!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38">
        <v>0</v>
      </c>
      <c r="AL37" s="6"/>
    </row>
    <row r="38" spans="1:38" x14ac:dyDescent="0.25">
      <c r="A38" s="3" t="s">
        <v>50</v>
      </c>
      <c r="B38" s="30">
        <v>1015225762</v>
      </c>
      <c r="C38" s="15" t="s">
        <v>57</v>
      </c>
      <c r="D38" s="20" t="s">
        <v>71</v>
      </c>
      <c r="E38" s="49" t="s">
        <v>78</v>
      </c>
      <c r="F38" s="38">
        <v>0</v>
      </c>
      <c r="G38" s="64">
        <v>0</v>
      </c>
      <c r="H38" s="38">
        <v>0</v>
      </c>
      <c r="I38" s="38" t="e">
        <f t="shared" si="1"/>
        <v>#DIV/0!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38">
        <v>0</v>
      </c>
      <c r="AL38" s="6"/>
    </row>
    <row r="39" spans="1:38" x14ac:dyDescent="0.25">
      <c r="A39" s="3" t="s">
        <v>51</v>
      </c>
      <c r="B39" s="30">
        <v>1015225767</v>
      </c>
      <c r="C39" s="15" t="s">
        <v>58</v>
      </c>
      <c r="D39" s="20" t="s">
        <v>71</v>
      </c>
      <c r="E39" s="49" t="s">
        <v>78</v>
      </c>
      <c r="F39" s="38">
        <v>0</v>
      </c>
      <c r="G39" s="64">
        <v>0</v>
      </c>
      <c r="H39" s="38">
        <v>0</v>
      </c>
      <c r="I39" s="38" t="e">
        <f t="shared" si="1"/>
        <v>#DIV/0!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38">
        <v>0</v>
      </c>
      <c r="AL39" s="6"/>
    </row>
    <row r="40" spans="1:38" x14ac:dyDescent="0.25">
      <c r="A40" s="28" t="s">
        <v>60</v>
      </c>
      <c r="B40" s="34"/>
      <c r="C40" s="28"/>
      <c r="D40" s="28"/>
      <c r="E40" s="28"/>
      <c r="F40" s="39"/>
      <c r="G40" s="66"/>
      <c r="H40" s="28"/>
      <c r="I40" s="5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9"/>
    </row>
    <row r="41" spans="1:38" x14ac:dyDescent="0.25">
      <c r="A41" s="3" t="s">
        <v>59</v>
      </c>
      <c r="B41" s="30">
        <v>1015511910</v>
      </c>
      <c r="C41" s="15" t="s">
        <v>61</v>
      </c>
      <c r="D41" s="20" t="s">
        <v>76</v>
      </c>
      <c r="E41" s="49" t="s">
        <v>77</v>
      </c>
      <c r="F41" s="38">
        <v>0</v>
      </c>
      <c r="G41" s="38">
        <v>0</v>
      </c>
      <c r="H41" s="38">
        <v>0</v>
      </c>
      <c r="I41" s="38" t="e">
        <f t="shared" si="1"/>
        <v>#DIV/0!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38">
        <v>0</v>
      </c>
      <c r="AL41" s="6"/>
    </row>
    <row r="42" spans="1:38" ht="36" x14ac:dyDescent="0.25">
      <c r="A42" s="8" t="s">
        <v>63</v>
      </c>
      <c r="B42" s="36" t="s">
        <v>62</v>
      </c>
      <c r="C42" s="31" t="s">
        <v>64</v>
      </c>
      <c r="D42" s="20" t="s">
        <v>76</v>
      </c>
      <c r="E42" s="52" t="s">
        <v>79</v>
      </c>
      <c r="F42" s="38">
        <v>0</v>
      </c>
      <c r="G42" s="38" t="s">
        <v>84</v>
      </c>
      <c r="H42" s="38">
        <v>0</v>
      </c>
      <c r="I42" s="38" t="e">
        <f t="shared" si="1"/>
        <v>#DIV/0!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38">
        <v>0</v>
      </c>
      <c r="AL42" s="6"/>
    </row>
    <row r="43" spans="1:38" x14ac:dyDescent="0.25">
      <c r="A43" s="28" t="s">
        <v>65</v>
      </c>
      <c r="B43" s="34"/>
      <c r="C43" s="28"/>
      <c r="D43" s="28"/>
      <c r="E43" s="28"/>
      <c r="F43" s="39"/>
      <c r="G43" s="66"/>
      <c r="H43" s="34" t="s">
        <v>80</v>
      </c>
      <c r="I43" s="5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9"/>
    </row>
    <row r="44" spans="1:38" x14ac:dyDescent="0.25">
      <c r="A44" s="3" t="s">
        <v>66</v>
      </c>
      <c r="B44" s="30">
        <v>1015815197</v>
      </c>
      <c r="C44" s="15" t="s">
        <v>67</v>
      </c>
      <c r="D44" s="20" t="s">
        <v>76</v>
      </c>
      <c r="E44" s="52" t="s">
        <v>79</v>
      </c>
      <c r="F44" s="38">
        <v>0</v>
      </c>
      <c r="G44" s="64">
        <v>0</v>
      </c>
      <c r="H44" s="1">
        <v>114555</v>
      </c>
      <c r="I44" s="38" t="e">
        <f>G44/F44</f>
        <v>#DIV/0!</v>
      </c>
      <c r="J44" s="38">
        <v>0</v>
      </c>
      <c r="K44" s="38">
        <v>0</v>
      </c>
      <c r="L44" s="38">
        <v>0</v>
      </c>
      <c r="M44" s="38">
        <v>0</v>
      </c>
      <c r="N44" s="38">
        <v>0</v>
      </c>
      <c r="O44" s="38">
        <v>0</v>
      </c>
      <c r="P44" s="38">
        <v>0</v>
      </c>
      <c r="Q44" s="38">
        <v>0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8">
        <v>0</v>
      </c>
      <c r="X44" s="38">
        <v>0</v>
      </c>
      <c r="Y44" s="38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38">
        <v>0</v>
      </c>
      <c r="AL44" s="6"/>
    </row>
    <row r="45" spans="1:38" x14ac:dyDescent="0.25">
      <c r="A45" s="20" t="s">
        <v>10</v>
      </c>
      <c r="B45" s="20">
        <v>1012270067</v>
      </c>
      <c r="C45" s="22" t="s">
        <v>11</v>
      </c>
      <c r="D45" s="20" t="s">
        <v>76</v>
      </c>
      <c r="E45" s="52" t="s">
        <v>79</v>
      </c>
      <c r="F45" s="38">
        <v>0</v>
      </c>
      <c r="G45" s="64">
        <v>0</v>
      </c>
      <c r="H45" s="1">
        <v>208160</v>
      </c>
      <c r="I45" s="38" t="e">
        <f>G45/F45</f>
        <v>#DIV/0!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8">
        <v>0</v>
      </c>
      <c r="X45" s="38">
        <v>0</v>
      </c>
      <c r="Y45" s="38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38">
        <v>0</v>
      </c>
      <c r="AL45" s="6"/>
    </row>
    <row r="46" spans="1:38" x14ac:dyDescent="0.25">
      <c r="A46" s="3" t="s">
        <v>59</v>
      </c>
      <c r="B46" s="30">
        <v>1015511910</v>
      </c>
      <c r="C46" s="15" t="s">
        <v>61</v>
      </c>
      <c r="D46" s="20" t="s">
        <v>76</v>
      </c>
      <c r="E46" s="49" t="s">
        <v>77</v>
      </c>
      <c r="F46" s="38">
        <v>0</v>
      </c>
      <c r="G46" s="64">
        <v>0</v>
      </c>
      <c r="H46" s="1">
        <v>99024</v>
      </c>
      <c r="I46" s="38" t="e">
        <f>G46/F46</f>
        <v>#DIV/0!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38">
        <v>0</v>
      </c>
      <c r="X46" s="38">
        <v>0</v>
      </c>
      <c r="Y46" s="38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38">
        <v>0</v>
      </c>
      <c r="AL46" s="6"/>
    </row>
    <row r="47" spans="1:38" x14ac:dyDescent="0.25">
      <c r="A47" s="28" t="s">
        <v>81</v>
      </c>
      <c r="B47" s="34"/>
      <c r="C47" s="28"/>
      <c r="D47" s="28"/>
      <c r="E47" s="28"/>
      <c r="F47" s="39"/>
      <c r="G47" s="66"/>
      <c r="H47" s="34" t="s">
        <v>80</v>
      </c>
      <c r="I47" s="5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9"/>
    </row>
    <row r="48" spans="1:38" x14ac:dyDescent="0.25">
      <c r="A48" s="3" t="s">
        <v>10</v>
      </c>
      <c r="B48" s="30">
        <v>1012270067</v>
      </c>
      <c r="C48" s="15" t="s">
        <v>11</v>
      </c>
      <c r="D48" s="20" t="s">
        <v>71</v>
      </c>
      <c r="E48" s="49" t="s">
        <v>82</v>
      </c>
      <c r="F48" s="38">
        <v>0</v>
      </c>
      <c r="G48" s="64">
        <v>0</v>
      </c>
      <c r="H48" s="1">
        <v>50000</v>
      </c>
      <c r="I48" s="38" t="e">
        <f>G48/F48</f>
        <v>#DIV/0!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38">
        <v>0</v>
      </c>
      <c r="AL48" s="6"/>
    </row>
    <row r="49" spans="1:38" x14ac:dyDescent="0.25">
      <c r="A49" s="20" t="s">
        <v>28</v>
      </c>
      <c r="B49" s="20">
        <v>1009579746</v>
      </c>
      <c r="C49" s="22" t="s">
        <v>29</v>
      </c>
      <c r="D49" s="20" t="s">
        <v>71</v>
      </c>
      <c r="E49" s="49" t="s">
        <v>82</v>
      </c>
      <c r="F49" s="38">
        <v>0</v>
      </c>
      <c r="G49" s="64">
        <v>0</v>
      </c>
      <c r="H49" s="1">
        <v>50000</v>
      </c>
      <c r="I49" s="38" t="e">
        <f>G49/F49</f>
        <v>#DIV/0!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8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38">
        <v>0</v>
      </c>
      <c r="AL49" s="6"/>
    </row>
    <row r="50" spans="1:38" x14ac:dyDescent="0.25">
      <c r="A50" s="3" t="s">
        <v>12</v>
      </c>
      <c r="B50" s="30">
        <v>1012264235</v>
      </c>
      <c r="C50" s="15" t="s">
        <v>13</v>
      </c>
      <c r="D50" s="20" t="s">
        <v>71</v>
      </c>
      <c r="E50" s="49" t="s">
        <v>83</v>
      </c>
      <c r="F50" s="38">
        <v>0</v>
      </c>
      <c r="G50" s="64">
        <v>0</v>
      </c>
      <c r="H50" s="1">
        <v>50000</v>
      </c>
      <c r="I50" s="38" t="e">
        <f>G50/F50</f>
        <v>#DIV/0!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0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8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38">
        <v>0</v>
      </c>
      <c r="AL50" s="6"/>
    </row>
    <row r="51" spans="1:38" x14ac:dyDescent="0.25">
      <c r="B51" s="30"/>
      <c r="C51" s="15"/>
      <c r="D51" s="15"/>
      <c r="E51" s="15"/>
      <c r="F51" s="43"/>
      <c r="G51" s="67"/>
      <c r="H51" s="15"/>
      <c r="I51" s="38" t="e">
        <f t="shared" si="1"/>
        <v>#DIV/0!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6"/>
    </row>
    <row r="52" spans="1:38" x14ac:dyDescent="0.25">
      <c r="B52" s="30"/>
      <c r="C52" s="15"/>
      <c r="D52" s="15"/>
      <c r="E52" s="15"/>
      <c r="F52" s="43"/>
      <c r="G52" s="67"/>
      <c r="H52" s="15"/>
      <c r="I52" s="38" t="e">
        <f t="shared" si="1"/>
        <v>#DIV/0!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6"/>
    </row>
    <row r="53" spans="1:38" x14ac:dyDescent="0.25">
      <c r="B53" s="30"/>
      <c r="C53" s="15"/>
      <c r="D53" s="15"/>
      <c r="E53" s="15"/>
      <c r="F53" s="43"/>
      <c r="G53" s="67"/>
      <c r="H53" s="15"/>
      <c r="I53" s="38" t="e">
        <f t="shared" si="1"/>
        <v>#DIV/0!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6"/>
    </row>
    <row r="54" spans="1:38" x14ac:dyDescent="0.25">
      <c r="B54" s="30"/>
      <c r="C54" s="15"/>
      <c r="D54" s="15"/>
      <c r="E54" s="15"/>
      <c r="F54" s="43"/>
      <c r="G54" s="67"/>
      <c r="H54" s="15"/>
      <c r="I54" s="38" t="e">
        <f t="shared" si="1"/>
        <v>#DIV/0!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6"/>
    </row>
    <row r="55" spans="1:38" x14ac:dyDescent="0.25">
      <c r="B55" s="30"/>
      <c r="C55" s="15"/>
      <c r="D55" s="15"/>
      <c r="E55" s="15"/>
      <c r="F55" s="43"/>
      <c r="G55" s="67"/>
      <c r="H55" s="15"/>
      <c r="I55" s="38" t="e">
        <f t="shared" si="1"/>
        <v>#DIV/0!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6"/>
    </row>
    <row r="56" spans="1:38" x14ac:dyDescent="0.25">
      <c r="B56" s="30"/>
      <c r="C56" s="15"/>
      <c r="D56" s="15"/>
      <c r="E56" s="15"/>
      <c r="F56" s="43"/>
      <c r="G56" s="67"/>
      <c r="H56" s="15"/>
      <c r="I56" s="38" t="e">
        <f t="shared" si="1"/>
        <v>#DIV/0!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6"/>
    </row>
    <row r="57" spans="1:38" x14ac:dyDescent="0.25">
      <c r="B57" s="30"/>
      <c r="C57" s="15"/>
      <c r="D57" s="15"/>
      <c r="E57" s="15"/>
      <c r="F57" s="43"/>
      <c r="G57" s="67"/>
      <c r="H57" s="15"/>
      <c r="I57" s="38" t="e">
        <f t="shared" si="1"/>
        <v>#DIV/0!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6"/>
    </row>
    <row r="58" spans="1:38" x14ac:dyDescent="0.25">
      <c r="B58" s="30"/>
      <c r="C58" s="15"/>
      <c r="D58" s="15"/>
      <c r="E58" s="15"/>
      <c r="F58" s="43"/>
      <c r="G58" s="67"/>
      <c r="H58" s="15"/>
      <c r="I58" s="38" t="e">
        <f t="shared" si="1"/>
        <v>#DIV/0!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6"/>
    </row>
    <row r="59" spans="1:38" x14ac:dyDescent="0.25">
      <c r="B59" s="30"/>
      <c r="C59" s="15"/>
      <c r="D59" s="15"/>
      <c r="E59" s="15"/>
      <c r="F59" s="43"/>
      <c r="G59" s="67"/>
      <c r="H59" s="15"/>
      <c r="I59" s="38" t="e">
        <f t="shared" si="1"/>
        <v>#DIV/0!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6"/>
    </row>
    <row r="60" spans="1:38" x14ac:dyDescent="0.25">
      <c r="B60" s="30"/>
      <c r="C60" s="15"/>
      <c r="D60" s="15"/>
      <c r="E60" s="15"/>
      <c r="F60" s="43"/>
      <c r="G60" s="67"/>
      <c r="H60" s="15"/>
      <c r="I60" s="38" t="e">
        <f t="shared" si="1"/>
        <v>#DIV/0!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6"/>
    </row>
    <row r="61" spans="1:38" x14ac:dyDescent="0.25">
      <c r="B61" s="30"/>
      <c r="C61" s="15"/>
      <c r="D61" s="15"/>
      <c r="E61" s="15"/>
      <c r="F61" s="43"/>
      <c r="G61" s="67"/>
      <c r="H61" s="15"/>
      <c r="I61" s="38" t="e">
        <f t="shared" ref="I61:I92" si="2">G61/F61</f>
        <v>#DIV/0!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6"/>
    </row>
    <row r="62" spans="1:38" x14ac:dyDescent="0.25">
      <c r="B62" s="30"/>
      <c r="C62" s="15"/>
      <c r="D62" s="15"/>
      <c r="E62" s="15"/>
      <c r="F62" s="43"/>
      <c r="G62" s="67"/>
      <c r="H62" s="15"/>
      <c r="I62" s="38" t="e">
        <f t="shared" si="2"/>
        <v>#DIV/0!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6"/>
    </row>
    <row r="63" spans="1:38" x14ac:dyDescent="0.25">
      <c r="B63" s="30"/>
      <c r="C63" s="15"/>
      <c r="D63" s="15"/>
      <c r="E63" s="15"/>
      <c r="F63" s="43"/>
      <c r="G63" s="67"/>
      <c r="H63" s="15"/>
      <c r="I63" s="38" t="e">
        <f t="shared" si="2"/>
        <v>#DIV/0!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6"/>
    </row>
    <row r="64" spans="1:38" x14ac:dyDescent="0.25">
      <c r="B64" s="30"/>
      <c r="C64" s="15"/>
      <c r="D64" s="15"/>
      <c r="E64" s="15"/>
      <c r="F64" s="43"/>
      <c r="G64" s="67"/>
      <c r="H64" s="15"/>
      <c r="I64" s="38" t="e">
        <f t="shared" si="2"/>
        <v>#DIV/0!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6"/>
    </row>
    <row r="65" spans="2:38" x14ac:dyDescent="0.25">
      <c r="B65" s="30"/>
      <c r="C65" s="15"/>
      <c r="D65" s="15"/>
      <c r="E65" s="15"/>
      <c r="F65" s="43"/>
      <c r="G65" s="67"/>
      <c r="H65" s="15"/>
      <c r="I65" s="38" t="e">
        <f t="shared" si="2"/>
        <v>#DIV/0!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6"/>
    </row>
    <row r="66" spans="2:38" x14ac:dyDescent="0.25">
      <c r="B66" s="30"/>
      <c r="C66" s="15"/>
      <c r="D66" s="15"/>
      <c r="E66" s="15"/>
      <c r="F66" s="43"/>
      <c r="G66" s="67"/>
      <c r="H66" s="15"/>
      <c r="I66" s="38" t="e">
        <f t="shared" si="2"/>
        <v>#DIV/0!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6"/>
    </row>
    <row r="67" spans="2:38" x14ac:dyDescent="0.25">
      <c r="B67" s="30"/>
      <c r="C67" s="15"/>
      <c r="D67" s="15"/>
      <c r="E67" s="15"/>
      <c r="F67" s="43"/>
      <c r="G67" s="67"/>
      <c r="H67" s="15"/>
      <c r="I67" s="38" t="e">
        <f t="shared" si="2"/>
        <v>#DIV/0!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6"/>
    </row>
    <row r="68" spans="2:38" x14ac:dyDescent="0.25">
      <c r="B68" s="30"/>
      <c r="C68" s="15"/>
      <c r="D68" s="15"/>
      <c r="E68" s="15"/>
      <c r="F68" s="43"/>
      <c r="G68" s="67"/>
      <c r="H68" s="15"/>
      <c r="I68" s="38" t="e">
        <f t="shared" si="2"/>
        <v>#DIV/0!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6"/>
    </row>
    <row r="69" spans="2:38" x14ac:dyDescent="0.25">
      <c r="B69" s="30"/>
      <c r="C69" s="15"/>
      <c r="D69" s="15"/>
      <c r="E69" s="15"/>
      <c r="F69" s="43"/>
      <c r="G69" s="67"/>
      <c r="H69" s="15"/>
      <c r="I69" s="38" t="e">
        <f t="shared" si="2"/>
        <v>#DIV/0!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6"/>
    </row>
    <row r="70" spans="2:38" x14ac:dyDescent="0.25">
      <c r="B70" s="30"/>
      <c r="C70" s="15"/>
      <c r="D70" s="15"/>
      <c r="E70" s="15"/>
      <c r="F70" s="43"/>
      <c r="G70" s="67"/>
      <c r="H70" s="15"/>
      <c r="I70" s="38" t="e">
        <f t="shared" si="2"/>
        <v>#DIV/0!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6"/>
    </row>
    <row r="71" spans="2:38" x14ac:dyDescent="0.25">
      <c r="B71" s="30"/>
      <c r="C71" s="15"/>
      <c r="D71" s="15"/>
      <c r="E71" s="15"/>
      <c r="F71" s="43"/>
      <c r="G71" s="67"/>
      <c r="H71" s="15"/>
      <c r="I71" s="38" t="e">
        <f t="shared" si="2"/>
        <v>#DIV/0!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6"/>
    </row>
    <row r="72" spans="2:38" x14ac:dyDescent="0.25">
      <c r="B72" s="30"/>
      <c r="C72" s="15"/>
      <c r="D72" s="15"/>
      <c r="E72" s="15"/>
      <c r="F72" s="43"/>
      <c r="G72" s="67"/>
      <c r="H72" s="15"/>
      <c r="I72" s="38" t="e">
        <f t="shared" si="2"/>
        <v>#DIV/0!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6"/>
    </row>
    <row r="73" spans="2:38" x14ac:dyDescent="0.25">
      <c r="B73" s="30"/>
      <c r="C73" s="15"/>
      <c r="D73" s="15"/>
      <c r="E73" s="15"/>
      <c r="F73" s="43"/>
      <c r="G73" s="67"/>
      <c r="H73" s="15"/>
      <c r="I73" s="38" t="e">
        <f t="shared" si="2"/>
        <v>#DIV/0!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6"/>
    </row>
    <row r="74" spans="2:38" x14ac:dyDescent="0.25">
      <c r="B74" s="30"/>
      <c r="C74" s="15"/>
      <c r="D74" s="15"/>
      <c r="E74" s="15"/>
      <c r="F74" s="43"/>
      <c r="G74" s="67"/>
      <c r="H74" s="15"/>
      <c r="I74" s="38" t="e">
        <f t="shared" si="2"/>
        <v>#DIV/0!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6"/>
    </row>
    <row r="75" spans="2:38" x14ac:dyDescent="0.25">
      <c r="B75" s="30"/>
      <c r="C75" s="15"/>
      <c r="D75" s="15"/>
      <c r="E75" s="15"/>
      <c r="F75" s="43"/>
      <c r="G75" s="67"/>
      <c r="H75" s="15"/>
      <c r="I75" s="38" t="e">
        <f t="shared" si="2"/>
        <v>#DIV/0!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6"/>
    </row>
    <row r="76" spans="2:38" x14ac:dyDescent="0.25">
      <c r="B76" s="30"/>
      <c r="C76" s="15"/>
      <c r="D76" s="15"/>
      <c r="E76" s="15"/>
      <c r="F76" s="43"/>
      <c r="G76" s="67"/>
      <c r="H76" s="15"/>
      <c r="I76" s="38" t="e">
        <f t="shared" si="2"/>
        <v>#DIV/0!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6"/>
    </row>
    <row r="77" spans="2:38" x14ac:dyDescent="0.25">
      <c r="B77" s="30"/>
      <c r="C77" s="15"/>
      <c r="D77" s="15"/>
      <c r="E77" s="15"/>
      <c r="F77" s="43"/>
      <c r="G77" s="67"/>
      <c r="H77" s="15"/>
      <c r="I77" s="38" t="e">
        <f t="shared" si="2"/>
        <v>#DIV/0!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6"/>
    </row>
    <row r="78" spans="2:38" x14ac:dyDescent="0.25">
      <c r="B78" s="30"/>
      <c r="C78" s="15"/>
      <c r="D78" s="15"/>
      <c r="E78" s="15"/>
      <c r="F78" s="43"/>
      <c r="G78" s="67"/>
      <c r="H78" s="15"/>
      <c r="I78" s="38" t="e">
        <f t="shared" si="2"/>
        <v>#DIV/0!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6"/>
    </row>
    <row r="79" spans="2:38" x14ac:dyDescent="0.25">
      <c r="B79" s="30"/>
      <c r="C79" s="15"/>
      <c r="D79" s="15"/>
      <c r="E79" s="15"/>
      <c r="F79" s="43"/>
      <c r="G79" s="67"/>
      <c r="H79" s="15"/>
      <c r="I79" s="38" t="e">
        <f t="shared" si="2"/>
        <v>#DIV/0!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6"/>
    </row>
    <row r="80" spans="2:38" x14ac:dyDescent="0.25">
      <c r="B80" s="30"/>
      <c r="C80" s="15"/>
      <c r="D80" s="15"/>
      <c r="E80" s="15"/>
      <c r="F80" s="43"/>
      <c r="G80" s="67"/>
      <c r="H80" s="15"/>
      <c r="I80" s="38" t="e">
        <f t="shared" si="2"/>
        <v>#DIV/0!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6"/>
    </row>
    <row r="81" spans="2:38" x14ac:dyDescent="0.25">
      <c r="B81" s="30"/>
      <c r="C81" s="15"/>
      <c r="D81" s="15"/>
      <c r="E81" s="15"/>
      <c r="F81" s="43"/>
      <c r="G81" s="67"/>
      <c r="H81" s="15"/>
      <c r="I81" s="38" t="e">
        <f t="shared" si="2"/>
        <v>#DIV/0!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6"/>
    </row>
    <row r="82" spans="2:38" x14ac:dyDescent="0.25">
      <c r="B82" s="30"/>
      <c r="C82" s="15"/>
      <c r="D82" s="15"/>
      <c r="E82" s="15"/>
      <c r="F82" s="43"/>
      <c r="G82" s="67"/>
      <c r="H82" s="15"/>
      <c r="I82" s="38" t="e">
        <f t="shared" si="2"/>
        <v>#DIV/0!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6"/>
    </row>
    <row r="83" spans="2:38" x14ac:dyDescent="0.25">
      <c r="B83" s="30"/>
      <c r="C83" s="15"/>
      <c r="D83" s="15"/>
      <c r="E83" s="15"/>
      <c r="F83" s="43"/>
      <c r="G83" s="67"/>
      <c r="H83" s="15"/>
      <c r="I83" s="38" t="e">
        <f t="shared" si="2"/>
        <v>#DIV/0!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6"/>
    </row>
    <row r="84" spans="2:38" x14ac:dyDescent="0.25">
      <c r="B84" s="30"/>
      <c r="C84" s="15"/>
      <c r="D84" s="15"/>
      <c r="E84" s="15"/>
      <c r="F84" s="43"/>
      <c r="G84" s="67"/>
      <c r="H84" s="15"/>
      <c r="I84" s="38" t="e">
        <f t="shared" si="2"/>
        <v>#DIV/0!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6"/>
    </row>
    <row r="85" spans="2:38" x14ac:dyDescent="0.25">
      <c r="B85" s="30"/>
      <c r="C85" s="15"/>
      <c r="D85" s="15"/>
      <c r="E85" s="15"/>
      <c r="F85" s="43"/>
      <c r="G85" s="67"/>
      <c r="H85" s="15"/>
      <c r="I85" s="38" t="e">
        <f t="shared" si="2"/>
        <v>#DIV/0!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6"/>
    </row>
    <row r="86" spans="2:38" x14ac:dyDescent="0.25">
      <c r="B86" s="30"/>
      <c r="C86" s="15"/>
      <c r="D86" s="15"/>
      <c r="E86" s="15"/>
      <c r="F86" s="43"/>
      <c r="G86" s="67"/>
      <c r="H86" s="15"/>
      <c r="I86" s="38" t="e">
        <f t="shared" si="2"/>
        <v>#DIV/0!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6"/>
    </row>
    <row r="87" spans="2:38" x14ac:dyDescent="0.25">
      <c r="B87" s="30"/>
      <c r="C87" s="15"/>
      <c r="D87" s="15"/>
      <c r="E87" s="15"/>
      <c r="F87" s="43"/>
      <c r="G87" s="67"/>
      <c r="H87" s="15"/>
      <c r="I87" s="38" t="e">
        <f t="shared" si="2"/>
        <v>#DIV/0!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6"/>
    </row>
    <row r="88" spans="2:38" x14ac:dyDescent="0.25">
      <c r="B88" s="30"/>
      <c r="C88" s="15"/>
      <c r="D88" s="15"/>
      <c r="E88" s="15"/>
      <c r="F88" s="43"/>
      <c r="G88" s="67"/>
      <c r="H88" s="15"/>
      <c r="I88" s="38" t="e">
        <f t="shared" si="2"/>
        <v>#DIV/0!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6"/>
    </row>
    <row r="89" spans="2:38" x14ac:dyDescent="0.25">
      <c r="B89" s="30"/>
      <c r="C89" s="15"/>
      <c r="D89" s="15"/>
      <c r="E89" s="15"/>
      <c r="F89" s="43"/>
      <c r="G89" s="67"/>
      <c r="H89" s="15"/>
      <c r="I89" s="38" t="e">
        <f t="shared" si="2"/>
        <v>#DIV/0!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6"/>
    </row>
    <row r="90" spans="2:38" x14ac:dyDescent="0.25">
      <c r="B90" s="30"/>
      <c r="C90" s="15"/>
      <c r="D90" s="15"/>
      <c r="E90" s="15"/>
      <c r="F90" s="43"/>
      <c r="G90" s="67"/>
      <c r="H90" s="15"/>
      <c r="I90" s="38" t="e">
        <f t="shared" si="2"/>
        <v>#DIV/0!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6"/>
    </row>
    <row r="91" spans="2:38" x14ac:dyDescent="0.25">
      <c r="B91" s="30"/>
      <c r="C91" s="15"/>
      <c r="D91" s="15"/>
      <c r="E91" s="15"/>
      <c r="F91" s="43"/>
      <c r="G91" s="67"/>
      <c r="H91" s="15"/>
      <c r="I91" s="38" t="e">
        <f t="shared" si="2"/>
        <v>#DIV/0!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6"/>
    </row>
    <row r="92" spans="2:38" x14ac:dyDescent="0.25">
      <c r="B92" s="30"/>
      <c r="C92" s="15"/>
      <c r="D92" s="15"/>
      <c r="E92" s="15"/>
      <c r="F92" s="43"/>
      <c r="G92" s="67"/>
      <c r="H92" s="15"/>
      <c r="I92" s="38" t="e">
        <f t="shared" si="2"/>
        <v>#DIV/0!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6"/>
    </row>
    <row r="93" spans="2:38" x14ac:dyDescent="0.25">
      <c r="B93" s="30"/>
      <c r="C93" s="15"/>
      <c r="D93" s="15"/>
      <c r="E93" s="15"/>
      <c r="F93" s="43"/>
      <c r="G93" s="67"/>
      <c r="H93" s="15"/>
      <c r="I93" s="38" t="e">
        <f t="shared" ref="I93:I124" si="3">G93/F93</f>
        <v>#DIV/0!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6"/>
    </row>
    <row r="94" spans="2:38" x14ac:dyDescent="0.25">
      <c r="B94" s="30"/>
      <c r="C94" s="15"/>
      <c r="D94" s="15"/>
      <c r="E94" s="15"/>
      <c r="F94" s="43"/>
      <c r="G94" s="67"/>
      <c r="H94" s="15"/>
      <c r="I94" s="38" t="e">
        <f t="shared" si="3"/>
        <v>#DIV/0!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6"/>
    </row>
    <row r="95" spans="2:38" x14ac:dyDescent="0.25">
      <c r="B95" s="30"/>
      <c r="C95" s="15"/>
      <c r="D95" s="15"/>
      <c r="E95" s="15"/>
      <c r="F95" s="43"/>
      <c r="G95" s="67"/>
      <c r="H95" s="15"/>
      <c r="I95" s="38" t="e">
        <f t="shared" si="3"/>
        <v>#DIV/0!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6"/>
    </row>
    <row r="96" spans="2:38" x14ac:dyDescent="0.25">
      <c r="B96" s="30"/>
      <c r="C96" s="15"/>
      <c r="D96" s="15"/>
      <c r="E96" s="15"/>
      <c r="F96" s="43"/>
      <c r="G96" s="67"/>
      <c r="H96" s="15"/>
      <c r="I96" s="38" t="e">
        <f t="shared" si="3"/>
        <v>#DIV/0!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6"/>
    </row>
    <row r="97" spans="2:38" x14ac:dyDescent="0.25">
      <c r="B97" s="30"/>
      <c r="C97" s="15"/>
      <c r="D97" s="15"/>
      <c r="E97" s="15"/>
      <c r="F97" s="43"/>
      <c r="G97" s="67"/>
      <c r="H97" s="15"/>
      <c r="I97" s="38" t="e">
        <f t="shared" si="3"/>
        <v>#DIV/0!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6"/>
    </row>
    <row r="98" spans="2:38" x14ac:dyDescent="0.25">
      <c r="B98" s="30"/>
      <c r="C98" s="15"/>
      <c r="D98" s="15"/>
      <c r="E98" s="15"/>
      <c r="F98" s="43"/>
      <c r="G98" s="67"/>
      <c r="H98" s="15"/>
      <c r="I98" s="38" t="e">
        <f t="shared" si="3"/>
        <v>#DIV/0!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6"/>
    </row>
    <row r="99" spans="2:38" x14ac:dyDescent="0.25">
      <c r="B99" s="30"/>
      <c r="C99" s="15"/>
      <c r="D99" s="15"/>
      <c r="E99" s="15"/>
      <c r="F99" s="43"/>
      <c r="G99" s="67"/>
      <c r="H99" s="15"/>
      <c r="I99" s="38" t="e">
        <f t="shared" si="3"/>
        <v>#DIV/0!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6"/>
    </row>
    <row r="100" spans="2:38" x14ac:dyDescent="0.25">
      <c r="B100" s="30"/>
      <c r="C100" s="15"/>
      <c r="D100" s="15"/>
      <c r="E100" s="15"/>
      <c r="F100" s="43"/>
      <c r="G100" s="67"/>
      <c r="H100" s="15"/>
      <c r="I100" s="38" t="e">
        <f t="shared" si="3"/>
        <v>#DIV/0!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6"/>
    </row>
    <row r="101" spans="2:38" x14ac:dyDescent="0.25">
      <c r="B101" s="30"/>
      <c r="C101" s="15"/>
      <c r="D101" s="15"/>
      <c r="E101" s="15"/>
      <c r="F101" s="43"/>
      <c r="G101" s="67"/>
      <c r="H101" s="15"/>
      <c r="I101" s="38" t="e">
        <f t="shared" si="3"/>
        <v>#DIV/0!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6"/>
    </row>
    <row r="102" spans="2:38" x14ac:dyDescent="0.25">
      <c r="B102" s="30"/>
      <c r="C102" s="15"/>
      <c r="D102" s="15"/>
      <c r="E102" s="15"/>
      <c r="F102" s="43"/>
      <c r="G102" s="67"/>
      <c r="H102" s="15"/>
      <c r="I102" s="38" t="e">
        <f t="shared" si="3"/>
        <v>#DIV/0!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6"/>
    </row>
    <row r="103" spans="2:38" x14ac:dyDescent="0.25">
      <c r="B103" s="30"/>
      <c r="C103" s="15"/>
      <c r="D103" s="15"/>
      <c r="E103" s="15"/>
      <c r="F103" s="43"/>
      <c r="G103" s="67"/>
      <c r="H103" s="15"/>
      <c r="I103" s="38" t="e">
        <f t="shared" si="3"/>
        <v>#DIV/0!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6"/>
    </row>
    <row r="104" spans="2:38" x14ac:dyDescent="0.25">
      <c r="B104" s="30"/>
      <c r="C104" s="15"/>
      <c r="D104" s="15"/>
      <c r="E104" s="15"/>
      <c r="F104" s="43"/>
      <c r="G104" s="67"/>
      <c r="H104" s="15"/>
      <c r="I104" s="38" t="e">
        <f t="shared" si="3"/>
        <v>#DIV/0!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6"/>
    </row>
    <row r="105" spans="2:38" x14ac:dyDescent="0.25">
      <c r="B105" s="30"/>
      <c r="C105" s="15"/>
      <c r="D105" s="15"/>
      <c r="E105" s="15"/>
      <c r="F105" s="43"/>
      <c r="G105" s="67"/>
      <c r="H105" s="15"/>
      <c r="I105" s="38" t="e">
        <f t="shared" si="3"/>
        <v>#DIV/0!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6"/>
    </row>
    <row r="106" spans="2:38" x14ac:dyDescent="0.25">
      <c r="B106" s="30"/>
      <c r="C106" s="15"/>
      <c r="D106" s="15"/>
      <c r="E106" s="15"/>
      <c r="F106" s="43"/>
      <c r="G106" s="67"/>
      <c r="H106" s="15"/>
      <c r="I106" s="38" t="e">
        <f t="shared" si="3"/>
        <v>#DIV/0!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6"/>
    </row>
    <row r="107" spans="2:38" x14ac:dyDescent="0.25">
      <c r="B107" s="30"/>
      <c r="C107" s="15"/>
      <c r="D107" s="15"/>
      <c r="E107" s="15"/>
      <c r="F107" s="43"/>
      <c r="G107" s="67"/>
      <c r="H107" s="15"/>
      <c r="I107" s="38" t="e">
        <f t="shared" si="3"/>
        <v>#DIV/0!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6"/>
    </row>
    <row r="108" spans="2:38" x14ac:dyDescent="0.25">
      <c r="B108" s="30"/>
      <c r="C108" s="15"/>
      <c r="D108" s="15"/>
      <c r="E108" s="15"/>
      <c r="F108" s="43"/>
      <c r="G108" s="67"/>
      <c r="H108" s="15"/>
      <c r="I108" s="38" t="e">
        <f t="shared" si="3"/>
        <v>#DIV/0!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6"/>
    </row>
    <row r="109" spans="2:38" x14ac:dyDescent="0.25">
      <c r="B109" s="30"/>
      <c r="C109" s="15"/>
      <c r="D109" s="15"/>
      <c r="E109" s="15"/>
      <c r="F109" s="43"/>
      <c r="G109" s="67"/>
      <c r="H109" s="15"/>
      <c r="I109" s="38" t="e">
        <f t="shared" si="3"/>
        <v>#DIV/0!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6"/>
    </row>
    <row r="110" spans="2:38" x14ac:dyDescent="0.25">
      <c r="B110" s="30"/>
      <c r="C110" s="15"/>
      <c r="D110" s="15"/>
      <c r="E110" s="15"/>
      <c r="F110" s="43"/>
      <c r="G110" s="67"/>
      <c r="H110" s="15"/>
      <c r="I110" s="38" t="e">
        <f t="shared" si="3"/>
        <v>#DIV/0!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6"/>
    </row>
    <row r="111" spans="2:38" x14ac:dyDescent="0.25">
      <c r="B111" s="30"/>
      <c r="C111" s="15"/>
      <c r="D111" s="15"/>
      <c r="E111" s="15"/>
      <c r="F111" s="43"/>
      <c r="G111" s="67"/>
      <c r="H111" s="15"/>
      <c r="I111" s="38" t="e">
        <f t="shared" si="3"/>
        <v>#DIV/0!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6"/>
    </row>
    <row r="112" spans="2:38" x14ac:dyDescent="0.25">
      <c r="B112" s="30"/>
      <c r="C112" s="15"/>
      <c r="D112" s="15"/>
      <c r="E112" s="15"/>
      <c r="F112" s="43"/>
      <c r="G112" s="67"/>
      <c r="H112" s="15"/>
      <c r="I112" s="38" t="e">
        <f t="shared" si="3"/>
        <v>#DIV/0!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6"/>
    </row>
    <row r="113" spans="2:38" x14ac:dyDescent="0.25">
      <c r="B113" s="30"/>
      <c r="C113" s="15"/>
      <c r="D113" s="15"/>
      <c r="E113" s="15"/>
      <c r="F113" s="43"/>
      <c r="G113" s="67"/>
      <c r="H113" s="15"/>
      <c r="I113" s="38" t="e">
        <f t="shared" si="3"/>
        <v>#DIV/0!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6"/>
    </row>
    <row r="114" spans="2:38" x14ac:dyDescent="0.25">
      <c r="B114" s="30"/>
      <c r="C114" s="15"/>
      <c r="D114" s="15"/>
      <c r="E114" s="15"/>
      <c r="F114" s="43"/>
      <c r="G114" s="67"/>
      <c r="H114" s="15"/>
      <c r="I114" s="38" t="e">
        <f t="shared" si="3"/>
        <v>#DIV/0!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6"/>
    </row>
    <row r="115" spans="2:38" x14ac:dyDescent="0.25">
      <c r="B115" s="30"/>
      <c r="C115" s="15"/>
      <c r="D115" s="15"/>
      <c r="E115" s="15"/>
      <c r="F115" s="43"/>
      <c r="G115" s="67"/>
      <c r="H115" s="15"/>
      <c r="I115" s="38" t="e">
        <f t="shared" si="3"/>
        <v>#DIV/0!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6"/>
    </row>
    <row r="116" spans="2:38" x14ac:dyDescent="0.25">
      <c r="B116" s="30"/>
      <c r="C116" s="15"/>
      <c r="D116" s="15"/>
      <c r="E116" s="15"/>
      <c r="F116" s="43"/>
      <c r="G116" s="67"/>
      <c r="H116" s="15"/>
      <c r="I116" s="38" t="e">
        <f t="shared" si="3"/>
        <v>#DIV/0!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6"/>
    </row>
    <row r="117" spans="2:38" x14ac:dyDescent="0.25">
      <c r="B117" s="30"/>
      <c r="C117" s="15"/>
      <c r="D117" s="15"/>
      <c r="E117" s="15"/>
      <c r="F117" s="43"/>
      <c r="G117" s="67"/>
      <c r="H117" s="15"/>
      <c r="I117" s="38" t="e">
        <f t="shared" si="3"/>
        <v>#DIV/0!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6"/>
    </row>
    <row r="118" spans="2:38" x14ac:dyDescent="0.25">
      <c r="B118" s="30"/>
      <c r="C118" s="15"/>
      <c r="D118" s="15"/>
      <c r="E118" s="15"/>
      <c r="F118" s="43"/>
      <c r="G118" s="67"/>
      <c r="H118" s="15"/>
      <c r="I118" s="38" t="e">
        <f t="shared" si="3"/>
        <v>#DIV/0!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6"/>
    </row>
    <row r="119" spans="2:38" x14ac:dyDescent="0.25">
      <c r="B119" s="30"/>
      <c r="C119" s="15"/>
      <c r="D119" s="15"/>
      <c r="E119" s="15"/>
      <c r="F119" s="43"/>
      <c r="G119" s="67"/>
      <c r="H119" s="15"/>
      <c r="I119" s="38" t="e">
        <f t="shared" si="3"/>
        <v>#DIV/0!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6"/>
    </row>
    <row r="120" spans="2:38" x14ac:dyDescent="0.25">
      <c r="B120" s="30"/>
      <c r="C120" s="15"/>
      <c r="D120" s="15"/>
      <c r="E120" s="15"/>
      <c r="F120" s="43"/>
      <c r="G120" s="67"/>
      <c r="H120" s="15"/>
      <c r="I120" s="38" t="e">
        <f t="shared" si="3"/>
        <v>#DIV/0!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6"/>
    </row>
    <row r="121" spans="2:38" x14ac:dyDescent="0.25">
      <c r="B121" s="30"/>
      <c r="C121" s="15"/>
      <c r="D121" s="15"/>
      <c r="E121" s="15"/>
      <c r="F121" s="43"/>
      <c r="G121" s="67"/>
      <c r="H121" s="15"/>
      <c r="I121" s="38" t="e">
        <f t="shared" si="3"/>
        <v>#DIV/0!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6"/>
    </row>
    <row r="122" spans="2:38" x14ac:dyDescent="0.25">
      <c r="B122" s="30"/>
      <c r="C122" s="15"/>
      <c r="D122" s="15"/>
      <c r="E122" s="15"/>
      <c r="F122" s="43"/>
      <c r="G122" s="67"/>
      <c r="H122" s="15"/>
      <c r="I122" s="38" t="e">
        <f t="shared" si="3"/>
        <v>#DIV/0!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6"/>
    </row>
    <row r="123" spans="2:38" x14ac:dyDescent="0.25">
      <c r="B123" s="30"/>
      <c r="C123" s="15"/>
      <c r="D123" s="15"/>
      <c r="E123" s="15"/>
      <c r="F123" s="43"/>
      <c r="G123" s="67"/>
      <c r="H123" s="15"/>
      <c r="I123" s="38" t="e">
        <f t="shared" si="3"/>
        <v>#DIV/0!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6"/>
    </row>
    <row r="124" spans="2:38" x14ac:dyDescent="0.25">
      <c r="B124" s="30"/>
      <c r="C124" s="15"/>
      <c r="D124" s="15"/>
      <c r="E124" s="15"/>
      <c r="F124" s="43"/>
      <c r="G124" s="67"/>
      <c r="H124" s="15"/>
      <c r="I124" s="38" t="e">
        <f t="shared" si="3"/>
        <v>#DIV/0!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6"/>
    </row>
    <row r="125" spans="2:38" x14ac:dyDescent="0.25">
      <c r="B125" s="30"/>
      <c r="C125" s="15"/>
      <c r="D125" s="15"/>
      <c r="E125" s="15"/>
      <c r="F125" s="43"/>
      <c r="G125" s="67"/>
      <c r="H125" s="15"/>
      <c r="I125" s="38" t="e">
        <f t="shared" ref="I125:I149" si="4">G125/F125</f>
        <v>#DIV/0!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6"/>
    </row>
    <row r="126" spans="2:38" x14ac:dyDescent="0.25">
      <c r="B126" s="30"/>
      <c r="C126" s="15"/>
      <c r="D126" s="15"/>
      <c r="E126" s="15"/>
      <c r="F126" s="43"/>
      <c r="G126" s="67"/>
      <c r="H126" s="15"/>
      <c r="I126" s="38" t="e">
        <f t="shared" si="4"/>
        <v>#DIV/0!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6"/>
    </row>
    <row r="127" spans="2:38" x14ac:dyDescent="0.25">
      <c r="B127" s="30"/>
      <c r="C127" s="15"/>
      <c r="D127" s="15"/>
      <c r="E127" s="15"/>
      <c r="F127" s="43"/>
      <c r="G127" s="67"/>
      <c r="H127" s="15"/>
      <c r="I127" s="38" t="e">
        <f t="shared" si="4"/>
        <v>#DIV/0!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6"/>
    </row>
    <row r="128" spans="2:38" x14ac:dyDescent="0.25">
      <c r="B128" s="30"/>
      <c r="C128" s="15"/>
      <c r="D128" s="15"/>
      <c r="E128" s="15"/>
      <c r="F128" s="43"/>
      <c r="G128" s="67"/>
      <c r="H128" s="15"/>
      <c r="I128" s="38" t="e">
        <f t="shared" si="4"/>
        <v>#DIV/0!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6"/>
    </row>
    <row r="129" spans="2:38" x14ac:dyDescent="0.25">
      <c r="B129" s="30"/>
      <c r="C129" s="15"/>
      <c r="D129" s="15"/>
      <c r="E129" s="15"/>
      <c r="F129" s="43"/>
      <c r="G129" s="67"/>
      <c r="H129" s="15"/>
      <c r="I129" s="38" t="e">
        <f t="shared" si="4"/>
        <v>#DIV/0!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6"/>
    </row>
    <row r="130" spans="2:38" x14ac:dyDescent="0.25">
      <c r="B130" s="30"/>
      <c r="C130" s="15"/>
      <c r="D130" s="15"/>
      <c r="E130" s="15"/>
      <c r="F130" s="43"/>
      <c r="G130" s="67"/>
      <c r="H130" s="15"/>
      <c r="I130" s="38" t="e">
        <f t="shared" si="4"/>
        <v>#DIV/0!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6"/>
    </row>
    <row r="131" spans="2:38" x14ac:dyDescent="0.25">
      <c r="B131" s="30"/>
      <c r="C131" s="15"/>
      <c r="D131" s="15"/>
      <c r="E131" s="15"/>
      <c r="F131" s="43"/>
      <c r="G131" s="67"/>
      <c r="H131" s="15"/>
      <c r="I131" s="38" t="e">
        <f t="shared" si="4"/>
        <v>#DIV/0!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6"/>
    </row>
    <row r="132" spans="2:38" x14ac:dyDescent="0.25">
      <c r="B132" s="30"/>
      <c r="C132" s="15"/>
      <c r="D132" s="15"/>
      <c r="E132" s="15"/>
      <c r="F132" s="43"/>
      <c r="G132" s="67"/>
      <c r="H132" s="15"/>
      <c r="I132" s="38" t="e">
        <f t="shared" si="4"/>
        <v>#DIV/0!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6"/>
    </row>
    <row r="133" spans="2:38" x14ac:dyDescent="0.25">
      <c r="B133" s="30"/>
      <c r="C133" s="15"/>
      <c r="D133" s="15"/>
      <c r="E133" s="15"/>
      <c r="F133" s="43"/>
      <c r="G133" s="67"/>
      <c r="H133" s="15"/>
      <c r="I133" s="38" t="e">
        <f t="shared" si="4"/>
        <v>#DIV/0!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6"/>
    </row>
    <row r="134" spans="2:38" x14ac:dyDescent="0.25">
      <c r="B134" s="30"/>
      <c r="C134" s="15"/>
      <c r="D134" s="15"/>
      <c r="E134" s="15"/>
      <c r="F134" s="43"/>
      <c r="G134" s="67"/>
      <c r="H134" s="15"/>
      <c r="I134" s="38" t="e">
        <f t="shared" si="4"/>
        <v>#DIV/0!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6"/>
    </row>
    <row r="135" spans="2:38" x14ac:dyDescent="0.25">
      <c r="B135" s="30"/>
      <c r="C135" s="15"/>
      <c r="D135" s="15"/>
      <c r="E135" s="15"/>
      <c r="F135" s="43"/>
      <c r="G135" s="67"/>
      <c r="H135" s="15"/>
      <c r="I135" s="38" t="e">
        <f t="shared" si="4"/>
        <v>#DIV/0!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6"/>
    </row>
    <row r="136" spans="2:38" x14ac:dyDescent="0.25">
      <c r="B136" s="30"/>
      <c r="C136" s="15"/>
      <c r="D136" s="15"/>
      <c r="E136" s="15"/>
      <c r="F136" s="43"/>
      <c r="G136" s="67"/>
      <c r="H136" s="15"/>
      <c r="I136" s="38" t="e">
        <f t="shared" si="4"/>
        <v>#DIV/0!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6"/>
    </row>
    <row r="137" spans="2:38" x14ac:dyDescent="0.25">
      <c r="B137" s="30"/>
      <c r="C137" s="15"/>
      <c r="D137" s="15"/>
      <c r="E137" s="15"/>
      <c r="F137" s="43"/>
      <c r="G137" s="67"/>
      <c r="H137" s="15"/>
      <c r="I137" s="38" t="e">
        <f t="shared" si="4"/>
        <v>#DIV/0!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6"/>
    </row>
    <row r="138" spans="2:38" x14ac:dyDescent="0.25">
      <c r="B138" s="30"/>
      <c r="C138" s="15"/>
      <c r="D138" s="15"/>
      <c r="E138" s="15"/>
      <c r="F138" s="43"/>
      <c r="G138" s="67"/>
      <c r="H138" s="15"/>
      <c r="I138" s="38" t="e">
        <f t="shared" si="4"/>
        <v>#DIV/0!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6"/>
    </row>
    <row r="139" spans="2:38" x14ac:dyDescent="0.25">
      <c r="B139" s="30"/>
      <c r="C139" s="15"/>
      <c r="D139" s="15"/>
      <c r="E139" s="15"/>
      <c r="F139" s="43"/>
      <c r="G139" s="67"/>
      <c r="H139" s="15"/>
      <c r="I139" s="38" t="e">
        <f t="shared" si="4"/>
        <v>#DIV/0!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6"/>
    </row>
    <row r="140" spans="2:38" x14ac:dyDescent="0.25">
      <c r="B140" s="30"/>
      <c r="C140" s="15"/>
      <c r="D140" s="15"/>
      <c r="E140" s="15"/>
      <c r="F140" s="43"/>
      <c r="G140" s="67"/>
      <c r="H140" s="15"/>
      <c r="I140" s="38" t="e">
        <f t="shared" si="4"/>
        <v>#DIV/0!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6"/>
    </row>
    <row r="141" spans="2:38" x14ac:dyDescent="0.25">
      <c r="B141" s="30"/>
      <c r="C141" s="15"/>
      <c r="D141" s="15"/>
      <c r="E141" s="15"/>
      <c r="F141" s="43"/>
      <c r="G141" s="67"/>
      <c r="H141" s="15"/>
      <c r="I141" s="38" t="e">
        <f t="shared" si="4"/>
        <v>#DIV/0!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6"/>
    </row>
    <row r="142" spans="2:38" x14ac:dyDescent="0.25">
      <c r="B142" s="30"/>
      <c r="C142" s="15"/>
      <c r="D142" s="15"/>
      <c r="E142" s="15"/>
      <c r="F142" s="43"/>
      <c r="G142" s="67"/>
      <c r="H142" s="15"/>
      <c r="I142" s="38" t="e">
        <f t="shared" si="4"/>
        <v>#DIV/0!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6"/>
    </row>
    <row r="143" spans="2:38" x14ac:dyDescent="0.25">
      <c r="B143" s="30"/>
      <c r="C143" s="15"/>
      <c r="D143" s="15"/>
      <c r="E143" s="15"/>
      <c r="F143" s="43"/>
      <c r="G143" s="67"/>
      <c r="H143" s="15"/>
      <c r="I143" s="38" t="e">
        <f t="shared" si="4"/>
        <v>#DIV/0!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6"/>
    </row>
    <row r="144" spans="2:38" x14ac:dyDescent="0.25">
      <c r="B144" s="30"/>
      <c r="C144" s="15"/>
      <c r="D144" s="15"/>
      <c r="E144" s="15"/>
      <c r="F144" s="43"/>
      <c r="G144" s="67"/>
      <c r="H144" s="15"/>
      <c r="I144" s="38" t="e">
        <f t="shared" si="4"/>
        <v>#DIV/0!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6"/>
    </row>
    <row r="145" spans="2:38" x14ac:dyDescent="0.25">
      <c r="B145" s="30"/>
      <c r="C145" s="15"/>
      <c r="D145" s="15"/>
      <c r="E145" s="15"/>
      <c r="F145" s="43"/>
      <c r="G145" s="67"/>
      <c r="H145" s="15"/>
      <c r="I145" s="38" t="e">
        <f t="shared" si="4"/>
        <v>#DIV/0!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6"/>
    </row>
    <row r="146" spans="2:38" x14ac:dyDescent="0.25">
      <c r="B146" s="30"/>
      <c r="C146" s="15"/>
      <c r="D146" s="15"/>
      <c r="E146" s="15"/>
      <c r="F146" s="43"/>
      <c r="G146" s="67"/>
      <c r="H146" s="15"/>
      <c r="I146" s="38" t="e">
        <f t="shared" si="4"/>
        <v>#DIV/0!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6"/>
    </row>
    <row r="147" spans="2:38" x14ac:dyDescent="0.25">
      <c r="B147" s="30"/>
      <c r="C147" s="15"/>
      <c r="D147" s="15"/>
      <c r="E147" s="15"/>
      <c r="F147" s="43"/>
      <c r="G147" s="67"/>
      <c r="H147" s="15"/>
      <c r="I147" s="38" t="e">
        <f t="shared" si="4"/>
        <v>#DIV/0!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6"/>
    </row>
    <row r="148" spans="2:38" x14ac:dyDescent="0.25">
      <c r="B148" s="30"/>
      <c r="C148" s="15"/>
      <c r="D148" s="15"/>
      <c r="E148" s="15"/>
      <c r="F148" s="43"/>
      <c r="G148" s="67"/>
      <c r="H148" s="15"/>
      <c r="I148" s="38" t="e">
        <f t="shared" si="4"/>
        <v>#DIV/0!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6"/>
    </row>
    <row r="149" spans="2:38" x14ac:dyDescent="0.25">
      <c r="B149" s="35"/>
      <c r="C149" s="16"/>
      <c r="D149" s="16"/>
      <c r="E149" s="16"/>
      <c r="F149" s="44"/>
      <c r="G149" s="68"/>
      <c r="H149" s="16"/>
      <c r="I149" s="59" t="e">
        <f t="shared" si="4"/>
        <v>#DIV/0!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9"/>
    </row>
  </sheetData>
  <mergeCells count="12">
    <mergeCell ref="AL7:AL8"/>
    <mergeCell ref="F7:F8"/>
    <mergeCell ref="H7:H8"/>
    <mergeCell ref="G7:G8"/>
    <mergeCell ref="A1:B1"/>
    <mergeCell ref="A7:A8"/>
    <mergeCell ref="B7:B8"/>
    <mergeCell ref="I7:I8"/>
    <mergeCell ref="C7:C8"/>
    <mergeCell ref="J6:Q6"/>
    <mergeCell ref="D7:D8"/>
    <mergeCell ref="E7:E8"/>
  </mergeCells>
  <pageMargins left="0.7" right="0.7" top="0.75" bottom="0.75" header="0.3" footer="0.3"/>
  <headerFooter>
    <oddFooter>&amp;C_x000D_&amp;1#&amp;"Calibri"&amp;8&amp;K000000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Inventory Recap</vt:lpstr>
    </vt:vector>
  </TitlesOfParts>
  <Manager/>
  <Company>The Home Depot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Terry, Jessica</dc:creator>
  <cp:keywords/>
  <dc:description/>
  <cp:lastModifiedBy>Tai Ho Liu Easley</cp:lastModifiedBy>
  <cp:revision/>
  <dcterms:created xsi:type="dcterms:W3CDTF">2024-10-07T14:22:43Z</dcterms:created>
  <dcterms:modified xsi:type="dcterms:W3CDTF">2026-07-14T16:15:57Z</dcterms:modified>
  <cp:category/>
  <cp:contentStatus/>
</cp:coreProperties>
</file>